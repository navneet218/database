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Leads" sheetId="2" state="visible" r:id="rId2"/>
    <sheet name="Tracker" sheetId="3" state="visible" r:id="rId3"/>
    <sheet name="Dashboard" sheetId="4" state="visible" r:id="rId4"/>
    <sheet name="Sequence" sheetId="5" state="visible" r:id="rId5"/>
    <sheet name="Lists" sheetId="6" state="visible" r:id="rId6"/>
  </sheets>
  <definedNames>
    <definedName name="_xlnm._FilterDatabase" localSheetId="1" hidden="1">'Leads'!$A$1:$AB$121</definedName>
    <definedName name="_xlnm._FilterDatabase" localSheetId="2" hidden="1">'Tracker'!$A$1:$AC$121</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8">
    <font>
      <name val="Calibri"/>
      <family val="2"/>
      <color theme="1"/>
      <sz val="11"/>
      <scheme val="minor"/>
    </font>
    <font>
      <name val="Arial"/>
      <b val="1"/>
      <sz val="14"/>
    </font>
    <font>
      <name val="Arial"/>
      <sz val="10"/>
    </font>
    <font>
      <name val="Arial"/>
      <b val="1"/>
      <sz val="10"/>
    </font>
    <font>
      <name val="Arial"/>
      <b val="1"/>
      <color rgb="00FFFFFF"/>
      <sz val="10"/>
    </font>
    <font>
      <name val="Arial"/>
      <color rgb="001155CC"/>
      <sz val="10"/>
      <u val="single"/>
    </font>
    <font>
      <name val="Arial"/>
      <i val="1"/>
      <color rgb="00667085"/>
      <sz val="9"/>
    </font>
    <font>
      <name val="Arial"/>
      <b val="1"/>
      <sz val="12"/>
    </font>
  </fonts>
  <fills count="4">
    <fill>
      <patternFill/>
    </fill>
    <fill>
      <patternFill patternType="gray125"/>
    </fill>
    <fill>
      <patternFill patternType="solid">
        <fgColor rgb="00FFF6CC"/>
      </patternFill>
    </fill>
    <fill>
      <patternFill patternType="solid">
        <fgColor rgb="001F3A5F"/>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vertical="top"/>
    </xf>
    <xf numFmtId="0" fontId="3" fillId="0" borderId="0" applyAlignment="1" pivotButton="0" quotePrefix="0" xfId="0">
      <alignment vertical="top"/>
    </xf>
    <xf numFmtId="0" fontId="2" fillId="2" borderId="0" applyAlignment="1" pivotButton="0" quotePrefix="0" xfId="0">
      <alignment vertical="top" wrapText="1"/>
    </xf>
    <xf numFmtId="0" fontId="4" fillId="3" borderId="1" applyAlignment="1" pivotButton="0" quotePrefix="0" xfId="0">
      <alignment vertical="center" wrapText="1"/>
    </xf>
    <xf numFmtId="0" fontId="2" fillId="0" borderId="1" applyAlignment="1" pivotButton="0" quotePrefix="0" xfId="0">
      <alignment vertical="top" wrapText="1"/>
    </xf>
    <xf numFmtId="0" fontId="5" fillId="2" borderId="1"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2" fillId="0" borderId="1" applyAlignment="1" pivotButton="0" quotePrefix="0" xfId="0">
      <alignment vertical="top"/>
    </xf>
    <xf numFmtId="0" fontId="2" fillId="2" borderId="1" applyAlignment="1" pivotButton="0" quotePrefix="0" xfId="0">
      <alignment vertical="top"/>
    </xf>
    <xf numFmtId="164" fontId="2" fillId="2" borderId="1" applyAlignment="1" pivotButton="0" quotePrefix="0" xfId="0">
      <alignment vertical="top"/>
    </xf>
    <xf numFmtId="164" fontId="2" fillId="0" borderId="1" applyAlignment="1" pivotButton="0" quotePrefix="0" xfId="0">
      <alignment vertical="top"/>
    </xf>
    <xf numFmtId="0" fontId="1" fillId="0" borderId="0" pivotButton="0" quotePrefix="0" xfId="0"/>
    <xf numFmtId="0" fontId="6" fillId="0" borderId="0" pivotButton="0" quotePrefix="0" xfId="0"/>
    <xf numFmtId="0" fontId="4" fillId="3" borderId="0" pivotButton="0" quotePrefix="0" xfId="0"/>
    <xf numFmtId="0" fontId="2" fillId="0" borderId="0" pivotButton="0" quotePrefix="0" xfId="0"/>
    <xf numFmtId="0" fontId="3" fillId="0" borderId="0" pivotButton="0" quotePrefix="0" xfId="0"/>
    <xf numFmtId="0" fontId="7" fillId="0" borderId="0" pivotButton="0" quotePrefix="0" xfId="0"/>
    <xf numFmtId="165" fontId="2" fillId="0" borderId="0" pivotButton="0" quotePrefix="0" xfId="0"/>
  </cellXfs>
  <cellStyles count="1">
    <cellStyle name="Normal" xfId="0" builtinId="0" hidden="0"/>
  </cellStyles>
  <dxfs count="2">
    <dxf>
      <fill>
        <patternFill patternType="solid">
          <fgColor rgb="00F8D7DA"/>
        </patternFill>
      </fill>
    </dxf>
    <dxf>
      <fill>
        <patternFill patternType="solid">
          <fgColor rgb="00D1FAD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linkedin.com/in/ravishankarramachandran" TargetMode="External" Id="rId1" /><Relationship Type="http://schemas.openxmlformats.org/officeDocument/2006/relationships/hyperlink" Target="https://www.linkedin.com/in/karishmarathaur" TargetMode="External" Id="rId2" /><Relationship Type="http://schemas.openxmlformats.org/officeDocument/2006/relationships/hyperlink" Target="https://www.linkedin.com/in/sadra-hosseini" TargetMode="External" Id="rId3" /><Relationship Type="http://schemas.openxmlformats.org/officeDocument/2006/relationships/hyperlink" Target="https://www.linkedin.com/in/erinottawa" TargetMode="External" Id="rId4" /><Relationship Type="http://schemas.openxmlformats.org/officeDocument/2006/relationships/hyperlink" Target="https://www.linkedin.com/in/radhika-gandhi-patil" TargetMode="External" Id="rId5" /><Relationship Type="http://schemas.openxmlformats.org/officeDocument/2006/relationships/hyperlink" Target="https://www.linkedin.com/in/shourya-agarwal-015947b5" TargetMode="External" Id="rId6" /><Relationship Type="http://schemas.openxmlformats.org/officeDocument/2006/relationships/hyperlink" Target="https://www.linkedin.com/in/jagnoors" TargetMode="External" Id="rId7" /><Relationship Type="http://schemas.openxmlformats.org/officeDocument/2006/relationships/hyperlink" Target="https://www.linkedin.com/in/maddietewari" TargetMode="External" Id="rId8" /><Relationship Type="http://schemas.openxmlformats.org/officeDocument/2006/relationships/hyperlink" Target="https://www.linkedin.com/in/benarmstrong2" TargetMode="External" Id="rId9" /><Relationship Type="http://schemas.openxmlformats.org/officeDocument/2006/relationships/hyperlink" Target="https://www.linkedin.com/in/theosaville" TargetMode="External" Id="rId10" /><Relationship Type="http://schemas.openxmlformats.org/officeDocument/2006/relationships/hyperlink" Target="https://www.linkedin.com/in/adrianmurrray" TargetMode="External" Id="rId11" /><Relationship Type="http://schemas.openxmlformats.org/officeDocument/2006/relationships/hyperlink" Target="https://www.linkedin.com/in/raghavmidha" TargetMode="External" Id="rId12" /><Relationship Type="http://schemas.openxmlformats.org/officeDocument/2006/relationships/hyperlink" Target="https://www.linkedin.com/in/doug-schweitzer-573a443b" TargetMode="External" Id="rId13" /><Relationship Type="http://schemas.openxmlformats.org/officeDocument/2006/relationships/hyperlink" Target="https://www.linkedin.com/in/gabriel-rivest-11a019b4" TargetMode="External" Id="rId14" /><Relationship Type="http://schemas.openxmlformats.org/officeDocument/2006/relationships/hyperlink" Target="https://www.linkedin.com/in/david-lighton-b027a917" TargetMode="External" Id="rId15" /><Relationship Type="http://schemas.openxmlformats.org/officeDocument/2006/relationships/hyperlink" Target="https://www.linkedin.com/in/leo-crowe-457815121" TargetMode="External" Id="rId16" /><Relationship Type="http://schemas.openxmlformats.org/officeDocument/2006/relationships/hyperlink" Target="https://www.linkedin.com/in/alex-harland-a110b0149" TargetMode="External" Id="rId17" /><Relationship Type="http://schemas.openxmlformats.org/officeDocument/2006/relationships/hyperlink" Target="https://www.linkedin.com/in/shishir-work" TargetMode="External" Id="rId18" /><Relationship Type="http://schemas.openxmlformats.org/officeDocument/2006/relationships/hyperlink" Target="https://www.linkedin.com/in/shashanknd" TargetMode="External" Id="rId19" /><Relationship Type="http://schemas.openxmlformats.org/officeDocument/2006/relationships/hyperlink" Target="https://www.linkedin.com/in/izerbib" TargetMode="External" Id="rId20" /><Relationship Type="http://schemas.openxmlformats.org/officeDocument/2006/relationships/hyperlink" Target="https://www.linkedin.com/in/aniketshah30" TargetMode="External" Id="rId21" /><Relationship Type="http://schemas.openxmlformats.org/officeDocument/2006/relationships/hyperlink" Target="https://entrackr.com/news/10-minute-food-delivery-startup-swish-raises-24-mn-led-by-bertelsmann-india-investments-12513814" TargetMode="External" Id="rId22" /><Relationship Type="http://schemas.openxmlformats.org/officeDocument/2006/relationships/hyperlink" Target="https://www.linkedin.com/in/sunil-gupta-1733754" TargetMode="External" Id="rId23" /><Relationship Type="http://schemas.openxmlformats.org/officeDocument/2006/relationships/hyperlink" Target="https://startuptalky.com/news/daily-indian-funding-roundup-key-news-9-september-2026/" TargetMode="External" Id="rId24" /><Relationship Type="http://schemas.openxmlformats.org/officeDocument/2006/relationships/hyperlink" Target="https://www.linkedin.com/in/prashant-shah-definedge" TargetMode="External" Id="rId25" /><Relationship Type="http://schemas.openxmlformats.org/officeDocument/2006/relationships/hyperlink" Target="https://entrackr.com/snippets/fintech-and-brokerage-startup-definedge-raises-rs-22-cr-in-pre-series-a-12562400" TargetMode="External" Id="rId26" /><Relationship Type="http://schemas.openxmlformats.org/officeDocument/2006/relationships/hyperlink" Target="https://www.linkedin.com/in/ab-gupta-9b1b8210" TargetMode="External" Id="rId27" /><Relationship Type="http://schemas.openxmlformats.org/officeDocument/2006/relationships/hyperlink" Target="https://entrackr.com/snippets/the-pizza-bakery-operator-popo-global-raises-rs-532-cr-from-artal-asia-12518089" TargetMode="External" Id="rId28" /><Relationship Type="http://schemas.openxmlformats.org/officeDocument/2006/relationships/hyperlink" Target="https://www.linkedin.com/search/results/people/?keywords=Karan%20Jain%20Carrum%20Mobility" TargetMode="External" Id="rId29" /><Relationship Type="http://schemas.openxmlformats.org/officeDocument/2006/relationships/hyperlink" Target="https://techcrunch.com/2026/09/09/uber-invests-10m-in-indian-fleet-operator-carrum-at-168m-valuation/" TargetMode="External" Id="rId30" /><Relationship Type="http://schemas.openxmlformats.org/officeDocument/2006/relationships/hyperlink" Target="https://www.linkedin.com/in/abhishek-murarka-633b876" TargetMode="External" Id="rId31" /><Relationship Type="http://schemas.openxmlformats.org/officeDocument/2006/relationships/hyperlink" Target="https://www.exchange4media.com/industry-briefing-news/circolife-raises-45-mn-pre-series-a-158085.html" TargetMode="External" Id="rId32" /><Relationship Type="http://schemas.openxmlformats.org/officeDocument/2006/relationships/hyperlink" Target="https://www.linkedin.com/search/results/people/?keywords=Sneha%20Priya%20Reddy%20UniqYou" TargetMode="External" Id="rId33" /><Relationship Type="http://schemas.openxmlformats.org/officeDocument/2006/relationships/hyperlink" Target="https://startuptalky.com/news/daily-indian-funding-roundup-key-news-14-september-2026/" TargetMode="External" Id="rId34" /><Relationship Type="http://schemas.openxmlformats.org/officeDocument/2006/relationships/hyperlink" Target="https://www.linkedin.com/search/results/people/?keywords=Ankit%20Joshi%20TRUE%20ARTIS" TargetMode="External" Id="rId35" /><Relationship Type="http://schemas.openxmlformats.org/officeDocument/2006/relationships/hyperlink" Target="https://startuptalky.com/news/daily-indian-funding-roundup-key-news-16-september-2026/" TargetMode="External" Id="rId36" /><Relationship Type="http://schemas.openxmlformats.org/officeDocument/2006/relationships/hyperlink" Target="https://www.linkedin.com/search/results/people/?keywords=Devang%20Kumar%20Greenwave%20Circularity" TargetMode="External" Id="rId37" /><Relationship Type="http://schemas.openxmlformats.org/officeDocument/2006/relationships/hyperlink" Target="https://indianstartupnews.com/funding/greenwave-circularity-raises-315-million-from-oeeb-for-odisha-pet-recycling-plant-12516293" TargetMode="External" Id="rId38" /><Relationship Type="http://schemas.openxmlformats.org/officeDocument/2006/relationships/hyperlink" Target="https://www.linkedin.com/in/avni-jain-05b45448" TargetMode="External" Id="rId39" /><Relationship Type="http://schemas.openxmlformats.org/officeDocument/2006/relationships/hyperlink" Target="https://startuptalky.com/news/nuvah-raises-4-crore-pre-seed-comfort-heels/" TargetMode="External" Id="rId40" /><Relationship Type="http://schemas.openxmlformats.org/officeDocument/2006/relationships/hyperlink" Target="https://www.linkedin.com/in/charlie-bullock" TargetMode="External" Id="rId41" /><Relationship Type="http://schemas.openxmlformats.org/officeDocument/2006/relationships/hyperlink" Target="https://www.businesswire.com/news/home/20260831019981/en/Scan.com-Raises-$220-Million-to-Build-the-Largest-Medical-Imaging-Network-in-the-US" TargetMode="External" Id="rId42" /><Relationship Type="http://schemas.openxmlformats.org/officeDocument/2006/relationships/hyperlink" Target="https://www.linkedin.com/in/charlie-cook-2088922b" TargetMode="External" Id="rId43" /><Relationship Type="http://schemas.openxmlformats.org/officeDocument/2006/relationships/hyperlink" Target="https://tech.eu/2026/09/03/rightcharge-raises-ps500k-to-scale-fleet-ev-charging-payments-across-europe" TargetMode="External" Id="rId44" /><Relationship Type="http://schemas.openxmlformats.org/officeDocument/2006/relationships/hyperlink" Target="https://www.linkedin.com/in/kojimuto" TargetMode="External" Id="rId45" /><Relationship Type="http://schemas.openxmlformats.org/officeDocument/2006/relationships/hyperlink" Target="https://www.finsmes.com/2026/09/ki-13-raises-5m-in-seed-funding.html" TargetMode="External" Id="rId46" /><Relationship Type="http://schemas.openxmlformats.org/officeDocument/2006/relationships/hyperlink" Target="https://www.linkedin.com/in/francisco-juan-vigo" TargetMode="External" Id="rId47" /><Relationship Type="http://schemas.openxmlformats.org/officeDocument/2006/relationships/hyperlink" Target="https://www.uktech.news/ai/ai-search-visibility-startup-geosurge-scores-9-4m-round-20260703" TargetMode="External" Id="rId48" /><Relationship Type="http://schemas.openxmlformats.org/officeDocument/2006/relationships/hyperlink" Target="https://www.linkedin.com/in/callumadamson" TargetMode="External" Id="rId49" /><Relationship Type="http://schemas.openxmlformats.org/officeDocument/2006/relationships/hyperlink" Target="https://techcrunch.com/2026/07/15/applied-computing-wants-to-give-oil-and-gas-operators-an-ai-model-for-the-entire-plant/" TargetMode="External" Id="rId50" /><Relationship Type="http://schemas.openxmlformats.org/officeDocument/2006/relationships/hyperlink" Target="https://www.linkedin.com/in/lestatmccree" TargetMode="External" Id="rId51" /><Relationship Type="http://schemas.openxmlformats.org/officeDocument/2006/relationships/hyperlink" Target="https://www.globenewswire.com/news-release/2026/08/31/3353334/0/en/semcap-beauty-wellness-leads-funding-round-for-healf.html" TargetMode="External" Id="rId52" /><Relationship Type="http://schemas.openxmlformats.org/officeDocument/2006/relationships/hyperlink" Target="https://www.linkedin.com/in/itsmejon" TargetMode="External" Id="rId53" /><Relationship Type="http://schemas.openxmlformats.org/officeDocument/2006/relationships/hyperlink" Target="https://tech.eu/2026/07/09/ai-writing-startup-co-founded-by-deepmind-creative-lead-raises-13m-seed-investment/" TargetMode="External" Id="rId54" /><Relationship Type="http://schemas.openxmlformats.org/officeDocument/2006/relationships/hyperlink" Target="https://www.linkedin.com/in/stephen-cowley-8960a0228" TargetMode="External" Id="rId55" /><Relationship Type="http://schemas.openxmlformats.org/officeDocument/2006/relationships/hyperlink" Target="https://www.eu-startups.com/2026/09/uk-startup-pharosyn-raises-e2-5-million-for-pharma-competitive-intelligence-platform" TargetMode="External" Id="rId56" /><Relationship Type="http://schemas.openxmlformats.org/officeDocument/2006/relationships/hyperlink" Target="https://www.linkedin.com/search/results/people/?keywords=Steve%20Rimmer%20Tickets%20for%20Good" TargetMode="External" Id="rId57" /><Relationship Type="http://schemas.openxmlformats.org/officeDocument/2006/relationships/hyperlink" Target="https://www.finsmes.com/2026/09/tickets-for-good-raises-3-9m-in-new-funding.html" TargetMode="External" Id="rId58" /><Relationship Type="http://schemas.openxmlformats.org/officeDocument/2006/relationships/hyperlink" Target="https://www.linkedin.com/search/results/people/?keywords=Ismaeel%20Bashir%20Expanse" TargetMode="External" Id="rId59" /><Relationship Type="http://schemas.openxmlformats.org/officeDocument/2006/relationships/hyperlink" Target="https://www.eu-startups.com/2026/09/u-s-and-u-k-based-expanse-raises-e4-5-million-for-predictive-ai-infrastructure-platform" TargetMode="External" Id="rId60" /><Relationship Type="http://schemas.openxmlformats.org/officeDocument/2006/relationships/hyperlink" Target="https://www.linkedin.com/search/results/people/?keywords=Jason%20Liao%20Mundo%20AI" TargetMode="External" Id="rId61" /><Relationship Type="http://schemas.openxmlformats.org/officeDocument/2006/relationships/hyperlink" Target="https://betakit.com/mundo-announces-24-million-usd-to-help-tackle-ais-next-frontier/" TargetMode="External" Id="rId62" /><Relationship Type="http://schemas.openxmlformats.org/officeDocument/2006/relationships/hyperlink" Target="https://www.linkedin.com/in/dbennahum" TargetMode="External" Id="rId63" /><Relationship Type="http://schemas.openxmlformats.org/officeDocument/2006/relationships/hyperlink" Target="https://betakit.com/onix-raises-5-million-usd-to-create-ai-library-of-health-and-wellness-experts/" TargetMode="External" Id="rId64" /><Relationship Type="http://schemas.openxmlformats.org/officeDocument/2006/relationships/hyperlink" Target="https://www.linkedin.com/in/braatzy" TargetMode="External" Id="rId65" /><Relationship Type="http://schemas.openxmlformats.org/officeDocument/2006/relationships/hyperlink" Target="https://www.finsmes.com/2026/09/fullscript-receives-investment.html" TargetMode="External" Id="rId66" /><Relationship Type="http://schemas.openxmlformats.org/officeDocument/2006/relationships/hyperlink" Target="https://www.linkedin.com/in/lmaurice" TargetMode="External" Id="rId67" /><Relationship Type="http://schemas.openxmlformats.org/officeDocument/2006/relationships/hyperlink" Target="https://www.finsmes.com/2026/08/busbud-raises-40m-in-funding.html" TargetMode="External" Id="rId68" /><Relationship Type="http://schemas.openxmlformats.org/officeDocument/2006/relationships/hyperlink" Target="https://www.linkedin.com/in/sgarneau" TargetMode="External" Id="rId69" /><Relationship Type="http://schemas.openxmlformats.org/officeDocument/2006/relationships/hyperlink" Target="https://betakit.com/micrologic-raises-45-million-for-sovereign-cloud-services/" TargetMode="External" Id="rId70" /><Relationship Type="http://schemas.openxmlformats.org/officeDocument/2006/relationships/hyperlink" Target="https://www.linkedin.com/in/sanja-fidler-2846a1a" TargetMode="External" Id="rId71" /><Relationship Type="http://schemas.openxmlformats.org/officeDocument/2006/relationships/hyperlink" Target="https://www.finsmes.com/2026/08/veeda-innovation-raises-over-90m-in-seed-funding.html" TargetMode="External" Id="rId72" /><Relationship Type="http://schemas.openxmlformats.org/officeDocument/2006/relationships/hyperlink" Target="https://www.linkedin.com/in/hkimia" TargetMode="External" Id="rId73" /><Relationship Type="http://schemas.openxmlformats.org/officeDocument/2006/relationships/hyperlink" Target="https://www.axios.com/pro/enterprise-software-deals/2026/02/25/govtech-nationgraph-18-million-menlo" TargetMode="External" Id="rId74" /><Relationship Type="http://schemas.openxmlformats.org/officeDocument/2006/relationships/hyperlink" Target="https://www.linkedin.com/search/results/people/?keywords=Darren%20Hill%20Legio" TargetMode="External" Id="rId75" /><Relationship Type="http://schemas.openxmlformats.org/officeDocument/2006/relationships/hyperlink" Target="https://www.finsmes.com/2026/08/legio-raises-5m-in-seed-funding.html" TargetMode="External" Id="rId76" /><Relationship Type="http://schemas.openxmlformats.org/officeDocument/2006/relationships/hyperlink" Target="https://www.linkedin.com/search/results/people/?keywords=Kelvin%20Cui%20Peripheral" TargetMode="External" Id="rId77" /><Relationship Type="http://schemas.openxmlformats.org/officeDocument/2006/relationships/hyperlink" Target="https://www.finsmes.com/2026/08/peripheral-raises-8-7m-in-seed-funding.html" TargetMode="External" Id="rId78" /><Relationship Type="http://schemas.openxmlformats.org/officeDocument/2006/relationships/hyperlink" Target="https://www.linkedin.com/in/sumitproducer" TargetMode="External" Id="rId79" /><Relationship Type="http://schemas.openxmlformats.org/officeDocument/2006/relationships/hyperlink" Target="https://lbbonline.com/news/sumit-ajwani-makeos-ai-workspace-producers" TargetMode="External" Id="rId80" /><Relationship Type="http://schemas.openxmlformats.org/officeDocument/2006/relationships/hyperlink" Target="https://www.linkedin.com/in/bakershogry" TargetMode="External" Id="rId81" /><Relationship Type="http://schemas.openxmlformats.org/officeDocument/2006/relationships/hyperlink" Target="https://www.finsmes.com/2026/09/light-raises-46m-in-series-a-funding.html" TargetMode="External" Id="rId82" /><Relationship Type="http://schemas.openxmlformats.org/officeDocument/2006/relationships/hyperlink" Target="https://www.linkedin.com/in/guy-shahar" TargetMode="External" Id="rId83" /><Relationship Type="http://schemas.openxmlformats.org/officeDocument/2006/relationships/hyperlink" Target="https://www.finsmes.com/2026/09/blee-raises-20m-in-series-a-funding.html" TargetMode="External" Id="rId84" /><Relationship Type="http://schemas.openxmlformats.org/officeDocument/2006/relationships/hyperlink" Target="https://www.linkedin.com/in/michael-laframboise" TargetMode="External" Id="rId85" /><Relationship Type="http://schemas.openxmlformats.org/officeDocument/2006/relationships/hyperlink" Target="https://www.finsmes.com/2026/08/aurelius-systems-raises-40m-in-series-a-funding.html" TargetMode="External" Id="rId86" /><Relationship Type="http://schemas.openxmlformats.org/officeDocument/2006/relationships/hyperlink" Target="https://www.linkedin.com/in/noahschochet" TargetMode="External" Id="rId87" /><Relationship Type="http://schemas.openxmlformats.org/officeDocument/2006/relationships/hyperlink" Target="https://www.finsmes.com/2026/07/terrafirma-raises-100m-in-series-a-funding.html" TargetMode="External" Id="rId88" /><Relationship Type="http://schemas.openxmlformats.org/officeDocument/2006/relationships/hyperlink" Target="https://www.linkedin.com/in/christianondaatje" TargetMode="External" Id="rId89" /><Relationship Type="http://schemas.openxmlformats.org/officeDocument/2006/relationships/hyperlink" Target="https://www.finsmes.com/2026/09/aranya-raises-11m-in-funding.html" TargetMode="External" Id="rId90" /><Relationship Type="http://schemas.openxmlformats.org/officeDocument/2006/relationships/hyperlink" Target="https://www.linkedin.com/in/kaitlyn-claire-albertoli" TargetMode="External" Id="rId91" /><Relationship Type="http://schemas.openxmlformats.org/officeDocument/2006/relationships/hyperlink" Target="https://www.finsmes.com/2026/08/buzz-solutions-raises-20m-in-series-a-funding.html" TargetMode="External" Id="rId92" /><Relationship Type="http://schemas.openxmlformats.org/officeDocument/2006/relationships/hyperlink" Target="https://www.linkedin.com/in/oscar-levy" TargetMode="External" Id="rId93" /><Relationship Type="http://schemas.openxmlformats.org/officeDocument/2006/relationships/hyperlink" Target="https://fortune.com/2026/08/11/exclusive-river-markets-seed-round-prediction-market-trading-tools-institutions/" TargetMode="External" Id="rId94" /><Relationship Type="http://schemas.openxmlformats.org/officeDocument/2006/relationships/hyperlink" Target="https://www.linkedin.com/search/results/people/?keywords=Adel%20Badiri%20Foundational%20Industries" TargetMode="External" Id="rId95" /><Relationship Type="http://schemas.openxmlformats.org/officeDocument/2006/relationships/hyperlink" Target="https://www.finsmes.com/2026/08/foundational-industries-raises-25m-in-seed-funding.html" TargetMode="External" Id="rId96" /><Relationship Type="http://schemas.openxmlformats.org/officeDocument/2006/relationships/hyperlink" Target="https://www.linkedin.com/search/results/people/?keywords=David%20Lawrence%20Blue%20Voice" TargetMode="External" Id="rId97" /><Relationship Type="http://schemas.openxmlformats.org/officeDocument/2006/relationships/hyperlink" Target="https://techcrunch.com/2026/08/31/harvard-law-dropout-raises-6m-for-blue-voice-to-build-a-harvey-for-police-officers/" TargetMode="External" Id="rId98" /><Relationship Type="http://schemas.openxmlformats.org/officeDocument/2006/relationships/hyperlink" Target="https://www.linkedin.com/search/results/people/?keywords=Ian%20McInnis%20Multiplier" TargetMode="External" Id="rId99" /><Relationship Type="http://schemas.openxmlformats.org/officeDocument/2006/relationships/hyperlink" Target="https://www.finsmes.com/2026/08/multiplier-raises-usd6m-in-seed-funding.html" TargetMode="External" Id="rId100" /><Relationship Type="http://schemas.openxmlformats.org/officeDocument/2006/relationships/hyperlink" Target="https://www.linkedin.com/in/salem-abu-hammour-8717a6100" TargetMode="External" Id="rId101" /><Relationship Type="http://schemas.openxmlformats.org/officeDocument/2006/relationships/hyperlink" Target="https://www.wamda.com/2026/09/saudi-fintech-erad-raises-22-million-series-led-mevp" TargetMode="External" Id="rId102" /><Relationship Type="http://schemas.openxmlformats.org/officeDocument/2006/relationships/hyperlink" Target="https://www.linkedin.com/in/raafihossain" TargetMode="External" Id="rId103" /><Relationship Type="http://schemas.openxmlformats.org/officeDocument/2006/relationships/hyperlink" Target="https://www.finsmes.com/2026/08/fasset-raises-68m-in-series-c-funding.html" TargetMode="External" Id="rId104" /><Relationship Type="http://schemas.openxmlformats.org/officeDocument/2006/relationships/hyperlink" Target="https://www.linkedin.com/in/baraakoshak" TargetMode="External" Id="rId105" /><Relationship Type="http://schemas.openxmlformats.org/officeDocument/2006/relationships/hyperlink" Target="https://www.arabnews.com/startups/saudi-fintech-abwabai-raises-4m-in-seed-round-led-by-speedinvest-3002549" TargetMode="External" Id="rId106" /><Relationship Type="http://schemas.openxmlformats.org/officeDocument/2006/relationships/hyperlink" Target="https://www.linkedin.com/search/results/people/?keywords=Mohammad%20El%20Mougi%20Keep%20Converting" TargetMode="External" Id="rId107" /><Relationship Type="http://schemas.openxmlformats.org/officeDocument/2006/relationships/hyperlink" Target="https://www.wamda.com/2026/09/converting-closes-2-million-pre-seed-led-nuwa-capital-cotu-ventures" TargetMode="External" Id="rId108" /><Relationship Type="http://schemas.openxmlformats.org/officeDocument/2006/relationships/hyperlink" Target="https://www.linkedin.com/search/results/people/?keywords=Hamad%20Al-Thunayan%20Dawraty" TargetMode="External" Id="rId109" /><Relationship Type="http://schemas.openxmlformats.org/officeDocument/2006/relationships/hyperlink" Target="https://www.arabnews.com/startups/startup-wrap-funding-momentum-continues-in-mena-despite-regional-headwinds-3002904" TargetMode="External" Id="rId110" /><Relationship Type="http://schemas.openxmlformats.org/officeDocument/2006/relationships/hyperlink" Target="https://www.linkedin.com/in/purvi-munot" TargetMode="External" Id="rId111" /><Relationship Type="http://schemas.openxmlformats.org/officeDocument/2006/relationships/hyperlink" Target="https://www.wamda.com/2026/09/phoenix-venture-partners-leads-3-5-million-round-uae-fintech-sav" TargetMode="External" Id="rId112" /><Relationship Type="http://schemas.openxmlformats.org/officeDocument/2006/relationships/hyperlink" Target="https://www.linkedin.com/search/results/people/?keywords=Hossam%20Hosny%203C%20Coding%20School" TargetMode="External" Id="rId113" /><Relationship Type="http://schemas.openxmlformats.org/officeDocument/2006/relationships/hyperlink" Target="https://www.finsmes.com/2026/09/3c-coding-school-raises-3m-in-seed-funding.html" TargetMode="External" Id="rId114" /><Relationship Type="http://schemas.openxmlformats.org/officeDocument/2006/relationships/hyperlink" Target="https://www.linkedin.com/search/results/people/?keywords=Alaa%20Afifi%20Bekia" TargetMode="External" Id="rId115" /><Relationship Type="http://schemas.openxmlformats.org/officeDocument/2006/relationships/hyperlink" Target="https://disruptafrica.com/2026/09/21/egypts-bekia-raises-765k-to-scale-recycling-economy-tech/" TargetMode="External" Id="rId116" /><Relationship Type="http://schemas.openxmlformats.org/officeDocument/2006/relationships/hyperlink" Target="https://www.linkedin.com/in/alblowe" TargetMode="External" Id="rId117" /><Relationship Type="http://schemas.openxmlformats.org/officeDocument/2006/relationships/hyperlink" Target="https://entarabi.com/en/2026/09/saudi-startup-rwaj-raises-1-2-million-in-pre-seed-round/" TargetMode="External" Id="rId118" /><Relationship Type="http://schemas.openxmlformats.org/officeDocument/2006/relationships/hyperlink" Target="https://www.linkedin.com/search/results/people/?keywords=Wassim%20Mourad%20FMSi" TargetMode="External" Id="rId119" /><Relationship Type="http://schemas.openxmlformats.org/officeDocument/2006/relationships/hyperlink" Target="https://enterpriseam.com/uae/2026/09/16/fmsi-targets-saudi-expansion-gulf-ma-following-shorooq-and-egf-investment/" TargetMode="External" Id="rId120" /><Relationship Type="http://schemas.openxmlformats.org/officeDocument/2006/relationships/hyperlink" Target="https://www.linkedin.com/search/results/people/?keywords=Mohammed%20Almarshidi%20RIME" TargetMode="External" Id="rId121" /><Relationship Type="http://schemas.openxmlformats.org/officeDocument/2006/relationships/hyperlink" Target="https://www.wamda.com/2026/08/saudi-startup-rime-raises-2-million-seed-round" TargetMode="External" Id="rId122" /><Relationship Type="http://schemas.openxmlformats.org/officeDocument/2006/relationships/hyperlink" Target="https://www.linkedin.com/in/ahmed-fouad-abaza" TargetMode="External" Id="rId123" /><Relationship Type="http://schemas.openxmlformats.org/officeDocument/2006/relationships/hyperlink" Target="https://www.wamda.com/en/2026/09/synapse-analytics-secures-13-million-series-led-partech" TargetMode="External" Id="rId124" /><Relationship Type="http://schemas.openxmlformats.org/officeDocument/2006/relationships/hyperlink" Target="https://www.linkedin.com/search/results/people/?keywords=Ahmed%20AlSharif%20Think" TargetMode="External" Id="rId125" /><Relationship Type="http://schemas.openxmlformats.org/officeDocument/2006/relationships/hyperlink" Target="https://www.wamda.com/en/2026/07/think-gears-gcc-expansion-8-million-pre-seed-funding" TargetMode="External" Id="rId126" /><Relationship Type="http://schemas.openxmlformats.org/officeDocument/2006/relationships/hyperlink" Target="https://www.linkedin.com/search/results/people/?keywords=Bader%20Kalooti%20Bundle" TargetMode="External" Id="rId127" /><Relationship Type="http://schemas.openxmlformats.org/officeDocument/2006/relationships/hyperlink" Target="https://www.wamda.com/2026/07/web3-startup-bundle-launches-5-5-million-pre-seed-round" TargetMode="External" Id="rId128" /><Relationship Type="http://schemas.openxmlformats.org/officeDocument/2006/relationships/hyperlink" Target="https://www.linkedin.com/search/results/people/?keywords=Samer%20Gharaibeh%20Mylerz" TargetMode="External" Id="rId129" /><Relationship Type="http://schemas.openxmlformats.org/officeDocument/2006/relationships/hyperlink" Target="https://enterpriseam.com/egypt/2026/07/15/mylerz-raises-over-egp-100-mn-to-fund-domestic-expansion/" TargetMode="External" Id="rId130" /><Relationship Type="http://schemas.openxmlformats.org/officeDocument/2006/relationships/hyperlink" Target="https://www.linkedin.com/search/results/people/?keywords=Osama%20AlRaee%20Lendo" TargetMode="External" Id="rId131" /><Relationship Type="http://schemas.openxmlformats.org/officeDocument/2006/relationships/hyperlink" Target="https://www.wamda.com/2026/09/lendo-quantic-launch-200-million-sme-financing-programme-saudi-arabia" TargetMode="External" Id="rId132" /><Relationship Type="http://schemas.openxmlformats.org/officeDocument/2006/relationships/hyperlink" Target="https://www.linkedin.com/in/ladidelano" TargetMode="External" Id="rId133" /><Relationship Type="http://schemas.openxmlformats.org/officeDocument/2006/relationships/hyperlink" Target="https://www.connectingafrica.com/investment/moove-raises-250m-in-series-c-round-valuation-hits-2-1b" TargetMode="External" Id="rId134" /><Relationship Type="http://schemas.openxmlformats.org/officeDocument/2006/relationships/hyperlink" Target="https://www.linkedin.com/search/results/people/?keywords=Omar%20Abu%20Innab%20Keyper" TargetMode="External" Id="rId135" /><Relationship Type="http://schemas.openxmlformats.org/officeDocument/2006/relationships/hyperlink" Target="https://www.finsmes.com/2026/07/keyper-raises-11m-in-series-a-funding.html" TargetMode="External" Id="rId136" /><Relationship Type="http://schemas.openxmlformats.org/officeDocument/2006/relationships/hyperlink" Target="https://www.linkedin.com/search/results/people/?keywords=Tareq%20Dalbah%20Arab%20Therapy" TargetMode="External" Id="rId137" /><Relationship Type="http://schemas.openxmlformats.org/officeDocument/2006/relationships/hyperlink" Target="https://entarabi.com/en/2026/08/arab-therapy-raises-2-million-in-pre-ser/" TargetMode="External" Id="rId138" /><Relationship Type="http://schemas.openxmlformats.org/officeDocument/2006/relationships/hyperlink" Target="https://www.linkedin.com/search/results/people/?keywords=Mohammed%20Al-Mubayed%20Fitting" TargetMode="External" Id="rId139" /><Relationship Type="http://schemas.openxmlformats.org/officeDocument/2006/relationships/hyperlink" Target="https://www.wamda.com/2026/08/saudi-contech-fitting-raises-1-1-million-seed-fuel-expansion" TargetMode="External" Id="rId140" /><Relationship Type="http://schemas.openxmlformats.org/officeDocument/2006/relationships/hyperlink" Target="https://www.linkedin.com/in/matthew-wilson-671a757a" TargetMode="External" Id="rId141" /><Relationship Type="http://schemas.openxmlformats.org/officeDocument/2006/relationships/hyperlink" Target="https://www.eu-startups.com/2026/09/london-based-jack-jill-raises-e34-68-million-series-a-to-scale-its-ai-agents-for-jobseekers-and-employers" TargetMode="External" Id="rId142" /><Relationship Type="http://schemas.openxmlformats.org/officeDocument/2006/relationships/hyperlink" Target="https://www.linkedin.com/in/alex-higginbottom-049056141" TargetMode="External" Id="rId143" /><Relationship Type="http://schemas.openxmlformats.org/officeDocument/2006/relationships/hyperlink" Target="https://tech.eu/2026/09/30/zenithon-raises-10m-to-build-world-models-for-extreme-physics" TargetMode="External" Id="rId144" /><Relationship Type="http://schemas.openxmlformats.org/officeDocument/2006/relationships/hyperlink" Target="https://www.linkedin.com/in/umaima-ahmad" TargetMode="External" Id="rId145" /><Relationship Type="http://schemas.openxmlformats.org/officeDocument/2006/relationships/hyperlink" Target="https://ifamagazine.com/52north-raises-3-2-million-to-transform-urgent-cancer-care-with-funding-co-led-by-macmillan-cancer-support-and-hargreave-hale-aim-vct/" TargetMode="External" Id="rId146" /><Relationship Type="http://schemas.openxmlformats.org/officeDocument/2006/relationships/hyperlink" Target="https://www.linkedin.com/search/results/people/?keywords=Daniel%20Park%20InTouchNow" TargetMode="External" Id="rId147" /><Relationship Type="http://schemas.openxmlformats.org/officeDocument/2006/relationships/hyperlink" Target="https://www.resultsense.com/news/2026-09-23-intouchnow-seed-gp-ai-voice-agent/" TargetMode="External" Id="rId148" /><Relationship Type="http://schemas.openxmlformats.org/officeDocument/2006/relationships/hyperlink" Target="https://www.linkedin.com/search/results/people/?keywords=Guy%20Levy-Yurista%20Imperagen" TargetMode="External" Id="rId149" /><Relationship Type="http://schemas.openxmlformats.org/officeDocument/2006/relationships/hyperlink" Target="https://businesscloud.co.uk/news/spin-out-imperagen-raises-5m-and-announces-new-ceo/" TargetMode="External" Id="rId150" /><Relationship Type="http://schemas.openxmlformats.org/officeDocument/2006/relationships/hyperlink" Target="https://www.linkedin.com/search/results/people/?keywords=Andrea%20Romano%20DriveSimple" TargetMode="External" Id="rId151" /><Relationship Type="http://schemas.openxmlformats.org/officeDocument/2006/relationships/hyperlink" Target="https://fleetworld.co.uk/drivesimple-raises-1-5m-to-scale-flexible-van-subscription-model/" TargetMode="External" Id="rId152" /><Relationship Type="http://schemas.openxmlformats.org/officeDocument/2006/relationships/hyperlink" Target="https://www.linkedin.com/search/results/people/?keywords=Danyal%20Akarca%20Callosum" TargetMode="External" Id="rId153" /><Relationship Type="http://schemas.openxmlformats.org/officeDocument/2006/relationships/hyperlink" Target="https://www.uktech.news/ai/callosum-raises-73-5m-to-redefine-how-humanity-computes-20260820" TargetMode="External" Id="rId154" /><Relationship Type="http://schemas.openxmlformats.org/officeDocument/2006/relationships/hyperlink" Target="https://www.linkedin.com/search/results/people/?keywords=Ilya%20Drozdov%20Dwelly" TargetMode="External" Id="rId155" /><Relationship Type="http://schemas.openxmlformats.org/officeDocument/2006/relationships/hyperlink" Target="https://businesscloud.co.uk/news/proptech-dwelly-raises-128m-in-series-b-funding/" TargetMode="External" Id="rId156" /><Relationship Type="http://schemas.openxmlformats.org/officeDocument/2006/relationships/hyperlink" Target="https://www.linkedin.com/in/maxbuchan" TargetMode="External" Id="rId157" /><Relationship Type="http://schemas.openxmlformats.org/officeDocument/2006/relationships/hyperlink" Target="https://ventureburn.com/valarian-raises-50-million-sovereign-ai-infrastructure/" TargetMode="External" Id="rId158" /><Relationship Type="http://schemas.openxmlformats.org/officeDocument/2006/relationships/hyperlink" Target="https://www.linkedin.com/search/results/people/?keywords=Arthur%20Fordham%20AcouBatt" TargetMode="External" Id="rId159" /><Relationship Type="http://schemas.openxmlformats.org/officeDocument/2006/relationships/hyperlink" Target="https://tech.eu/2026/09/16/acoubatt-raises-ps11m-to-improve-battery-manufacturing-safety-and-reliability" TargetMode="External" Id="rId160" /><Relationship Type="http://schemas.openxmlformats.org/officeDocument/2006/relationships/hyperlink" Target="https://www.linkedin.com/search/results/people/?keywords=David%20Dobrin%20OriginalVoices" TargetMode="External" Id="rId161" /><Relationship Type="http://schemas.openxmlformats.org/officeDocument/2006/relationships/hyperlink" Target="https://tech.eu/2026/09/15/originalvoices-raises-ps1m-pre-seed-round-led-by-iona-star" TargetMode="External" Id="rId162" /><Relationship Type="http://schemas.openxmlformats.org/officeDocument/2006/relationships/hyperlink" Target="https://www.linkedin.com/search/results/people/?keywords=Koye%20Sodipo%20Anemo%20Labs" TargetMode="External" Id="rId163" /><Relationship Type="http://schemas.openxmlformats.org/officeDocument/2006/relationships/hyperlink" Target="https://tech.eu/2026/09/09/anemo-labs-lands-ps700k-to-give-ai-a-sense-of-smell" TargetMode="External" Id="rId164" /><Relationship Type="http://schemas.openxmlformats.org/officeDocument/2006/relationships/hyperlink" Target="https://www.linkedin.com/in/anahita-laverack" TargetMode="External" Id="rId165" /><Relationship Type="http://schemas.openxmlformats.org/officeDocument/2006/relationships/hyperlink" Target="https://www.uktech.news/deep-tech/oshen-raises-3-65m-to-scale-ocean-sensing-robot-fleet-20260821" TargetMode="External" Id="rId166" /><Relationship Type="http://schemas.openxmlformats.org/officeDocument/2006/relationships/hyperlink" Target="https://www.linkedin.com/in/ilan-adler-31226a72" TargetMode="External" Id="rId167" /><Relationship Type="http://schemas.openxmlformats.org/officeDocument/2006/relationships/hyperlink" Target="https://tech.eu/2026/08/19/economad-raises-ps400k-to-bring-waste-to-energy-tech-to-small-livestock-farms/" TargetMode="External" Id="rId168" /><Relationship Type="http://schemas.openxmlformats.org/officeDocument/2006/relationships/hyperlink" Target="https://www.linkedin.com/in/dr-fozia-saleem-b7762718" TargetMode="External" Id="rId169" /><Relationship Type="http://schemas.openxmlformats.org/officeDocument/2006/relationships/hyperlink" Target="https://www.uktech.news/funding/magnitude-biosciences-raises-1-3m-to-scale-drug-discovery-platform-20260915" TargetMode="External" Id="rId170" /><Relationship Type="http://schemas.openxmlformats.org/officeDocument/2006/relationships/hyperlink" Target="https://www.linkedin.com/in/natasha-jones-url" TargetMode="External" Id="rId171" /><Relationship Type="http://schemas.openxmlformats.org/officeDocument/2006/relationships/hyperlink" Target="https://www.finsmes.com/2026/09/metris-energy-raises-5m-in-seed-funding.html" TargetMode="External" Id="rId172" /><Relationship Type="http://schemas.openxmlformats.org/officeDocument/2006/relationships/hyperlink" Target="https://www.linkedin.com/search/results/people/?keywords=John%20Daley%20HelmGuard" TargetMode="External" Id="rId173" /><Relationship Type="http://schemas.openxmlformats.org/officeDocument/2006/relationships/hyperlink" Target="https://www.finsmes.com/2026/09/helmguard-raises-7-3m-in-seed-funding.html" TargetMode="External" Id="rId174" /><Relationship Type="http://schemas.openxmlformats.org/officeDocument/2006/relationships/hyperlink" Target="https://www.linkedin.com/search/results/people/?keywords=Khaled%20Eissa%20Eterna%20Regeneratives" TargetMode="External" Id="rId175" /><Relationship Type="http://schemas.openxmlformats.org/officeDocument/2006/relationships/hyperlink" Target="https://www.finsmes.com/2026/09/eterna-regeneratives-closes-seed-funding.html" TargetMode="External" Id="rId176" /><Relationship Type="http://schemas.openxmlformats.org/officeDocument/2006/relationships/hyperlink" Target="https://www.linkedin.com/search/results/people/?keywords=Alex%20Packham%20AcademyAI" TargetMode="External" Id="rId177" /><Relationship Type="http://schemas.openxmlformats.org/officeDocument/2006/relationships/hyperlink" Target="https://tech.eu/2026/09/15/academyai-raises-ps165m-to-close-the-workplace-ai-skills-gap/" TargetMode="External" Id="rId178" /><Relationship Type="http://schemas.openxmlformats.org/officeDocument/2006/relationships/hyperlink" Target="https://www.linkedin.com/search/results/people/?keywords=Kerstin%20Papenfuss%20Big%20Picture%20Bio" TargetMode="External" Id="rId179" /><Relationship Type="http://schemas.openxmlformats.org/officeDocument/2006/relationships/hyperlink" Target="https://www.finsmes.com/2026/09/big-picture-bio-raises-1-5m-in-pre-seed-funding.html" TargetMode="External" Id="rId180" /><Relationship Type="http://schemas.openxmlformats.org/officeDocument/2006/relationships/hyperlink" Target="https://www.linkedin.com/in/alex-toporek" TargetMode="External" Id="rId181" /><Relationship Type="http://schemas.openxmlformats.org/officeDocument/2006/relationships/hyperlink" Target="https://www.finsmes.com/2026/09/rebuild-raises-over-13m-in-funding.html" TargetMode="External" Id="rId182" /><Relationship Type="http://schemas.openxmlformats.org/officeDocument/2006/relationships/hyperlink" Target="https://www.linkedin.com/search/results/people/?keywords=Nabeel%20Alamgir%20Fin.com" TargetMode="External" Id="rId183" /><Relationship Type="http://schemas.openxmlformats.org/officeDocument/2006/relationships/hyperlink" Target="https://www.finsmes.com/2026/09/fin-com-raises-20m-in-seed-funding.html" TargetMode="External" Id="rId184" /><Relationship Type="http://schemas.openxmlformats.org/officeDocument/2006/relationships/hyperlink" Target="https://www.linkedin.com/search/results/people/?keywords=Calvin%20Chen%20Proximal" TargetMode="External" Id="rId185" /><Relationship Type="http://schemas.openxmlformats.org/officeDocument/2006/relationships/hyperlink" Target="https://www.finsmes.com/2026/09/proximal-raises-usd15m-in-funding-at-usd300m-valuation.html" TargetMode="External" Id="rId186" /><Relationship Type="http://schemas.openxmlformats.org/officeDocument/2006/relationships/hyperlink" Target="https://www.linkedin.com/search/results/people/?keywords=Siddharth%20Ram%20Intermezzo" TargetMode="External" Id="rId187" /><Relationship Type="http://schemas.openxmlformats.org/officeDocument/2006/relationships/hyperlink" Target="https://www.finsmes.com/2026/09/intermezzo-raises-10m-in-funding.html" TargetMode="External" Id="rId188" /><Relationship Type="http://schemas.openxmlformats.org/officeDocument/2006/relationships/hyperlink" Target="https://www.linkedin.com/in/theermann" TargetMode="External" Id="rId189" /><Relationship Type="http://schemas.openxmlformats.org/officeDocument/2006/relationships/hyperlink" Target="https://www.finsmes.com/2026/09/dynamic-creatures-raises-seed-funding.html" TargetMode="External" Id="rId190" /><Relationship Type="http://schemas.openxmlformats.org/officeDocument/2006/relationships/hyperlink" Target="https://www.linkedin.com/search/results/people/?keywords=Michael%20Assraf%20Flamingo" TargetMode="External" Id="rId191" /><Relationship Type="http://schemas.openxmlformats.org/officeDocument/2006/relationships/hyperlink" Target="https://www.finsmes.com/2026/09/flamingo-raises-4-5m-in-seed-funding.html" TargetMode="External" Id="rId192" /><Relationship Type="http://schemas.openxmlformats.org/officeDocument/2006/relationships/hyperlink" Target="https://www.linkedin.com/search/results/people/?keywords=Nikhil%20Aggarwal%20Corridor" TargetMode="External" Id="rId193" /><Relationship Type="http://schemas.openxmlformats.org/officeDocument/2006/relationships/hyperlink" Target="https://techcrunch.com/2026/09/21/corridor-raises-25m-seed-to-build-a-health-benefits-brokerage-for-smbs/" TargetMode="External" Id="rId194" /><Relationship Type="http://schemas.openxmlformats.org/officeDocument/2006/relationships/hyperlink" Target="https://www.linkedin.com/in/zachzelner" TargetMode="External" Id="rId195" /><Relationship Type="http://schemas.openxmlformats.org/officeDocument/2006/relationships/hyperlink" Target="https://www.finsmes.com/2026/09/outersignal-raises-22m-in-series-a-funding.html" TargetMode="External" Id="rId196" /><Relationship Type="http://schemas.openxmlformats.org/officeDocument/2006/relationships/hyperlink" Target="https://www.linkedin.com/search/results/people/?keywords=Michael%20Rossiter%20Atomic" TargetMode="External" Id="rId197" /><Relationship Type="http://schemas.openxmlformats.org/officeDocument/2006/relationships/hyperlink" Target="https://www.finsmes.com/2026/09/atomic-raises-12-5m-in-series-a-funding.html" TargetMode="External" Id="rId198" /><Relationship Type="http://schemas.openxmlformats.org/officeDocument/2006/relationships/hyperlink" Target="https://www.linkedin.com/in/jinman11" TargetMode="External" Id="rId199" /><Relationship Type="http://schemas.openxmlformats.org/officeDocument/2006/relationships/hyperlink" Target="https://www.finsmes.com/2026/09/emberos-raises-5-5m-in-seed-funding.html" TargetMode="External" Id="rId200" /><Relationship Type="http://schemas.openxmlformats.org/officeDocument/2006/relationships/hyperlink" Target="https://www.linkedin.com/in/neilsobin" TargetMode="External" Id="rId201" /><Relationship Type="http://schemas.openxmlformats.org/officeDocument/2006/relationships/hyperlink" Target="https://techcrunch.com/2026/09/28/maritime-intelligence-startup-quartermaster-raises-another-140m/" TargetMode="External" Id="rId202" /><Relationship Type="http://schemas.openxmlformats.org/officeDocument/2006/relationships/hyperlink" Target="https://www.linkedin.com/in/cherylyeoh" TargetMode="External" Id="rId203" /><Relationship Type="http://schemas.openxmlformats.org/officeDocument/2006/relationships/hyperlink" Target="https://news.crunchbase.com/venture/tiny-health-33m-microbiome-tests-sew-hoy/" TargetMode="External" Id="rId204" /><Relationship Type="http://schemas.openxmlformats.org/officeDocument/2006/relationships/hyperlink" Target="https://www.linkedin.com/search/results/people/?keywords=Randy%20Fernando%20Maximum" TargetMode="External" Id="rId205" /><Relationship Type="http://schemas.openxmlformats.org/officeDocument/2006/relationships/hyperlink" Target="https://www.finsmes.com/2026/08/maximum-raises-30m-in-seed-funding.html" TargetMode="External" Id="rId206" /><Relationship Type="http://schemas.openxmlformats.org/officeDocument/2006/relationships/hyperlink" Target="https://www.linkedin.com/in/ross-finman-a0618512" TargetMode="External" Id="rId207" /><Relationship Type="http://schemas.openxmlformats.org/officeDocument/2006/relationships/hyperlink" Target="https://www.geekwire.com/2026/augmodo-raises-21m-to-push-its-spatial-ai-beyond-just-retail-toward-the-broader-physical-workforce/" TargetMode="External" Id="rId208" /><Relationship Type="http://schemas.openxmlformats.org/officeDocument/2006/relationships/hyperlink" Target="https://www.linkedin.com/search/results/people/?keywords=Joseph%20Perla%20TrustedRouter" TargetMode="External" Id="rId209" /><Relationship Type="http://schemas.openxmlformats.org/officeDocument/2006/relationships/hyperlink" Target="https://refreshmiami.com/news/trustedrouter-lands-1-25m-to-build-a-private-gateway-to-ai/" TargetMode="External" Id="rId210" /><Relationship Type="http://schemas.openxmlformats.org/officeDocument/2006/relationships/hyperlink" Target="https://www.linkedin.com/in/cpfaught" TargetMode="External" Id="rId211" /><Relationship Type="http://schemas.openxmlformats.org/officeDocument/2006/relationships/hyperlink" Target="https://gamesbeat.com/neon-raises-13m-series-a-to-expand-direct-to-consumer-commerce-for-games-exclusive/" TargetMode="External" Id="rId212" /><Relationship Type="http://schemas.openxmlformats.org/officeDocument/2006/relationships/hyperlink" Target="https://www.linkedin.com/in/wyattmcdonnell" TargetMode="External" Id="rId213" /><Relationship Type="http://schemas.openxmlformats.org/officeDocument/2006/relationships/hyperlink" Target="https://www.fiercebiotech.com/biotech/regeneron-backs-75m-series-antibody-upstart-infinimmune" TargetMode="External" Id="rId214" /><Relationship Type="http://schemas.openxmlformats.org/officeDocument/2006/relationships/hyperlink" Target="https://www.linkedin.com/in/bodun" TargetMode="External" Id="rId215" /><Relationship Type="http://schemas.openxmlformats.org/officeDocument/2006/relationships/hyperlink" Target="https://www.finsmes.com/2026/07/feathery-closes-series-a-funding-30m-in-total.html" TargetMode="External" Id="rId216" /><Relationship Type="http://schemas.openxmlformats.org/officeDocument/2006/relationships/hyperlink" Target="https://www.linkedin.com/search/results/people/?keywords=Terry%20Moon%20CarbonSix" TargetMode="External" Id="rId217" /><Relationship Type="http://schemas.openxmlformats.org/officeDocument/2006/relationships/hyperlink" Target="https://www.finsmes.com/2026/07/carbonsix-raises-40m-in-series-a-funding.html" TargetMode="External" Id="rId218" /><Relationship Type="http://schemas.openxmlformats.org/officeDocument/2006/relationships/hyperlink" Target="https://www.linkedin.com/search/results/people/?keywords=Stephen%20Haney%20Paper" TargetMode="External" Id="rId219" /><Relationship Type="http://schemas.openxmlformats.org/officeDocument/2006/relationships/hyperlink" Target="https://www.finsmes.com/2026/07/paper-raises-34m-in-series-a-funding.html" TargetMode="External" Id="rId220" /></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6" customWidth="1" min="1" max="1"/>
    <col width="100" customWidth="1" min="2" max="2"/>
  </cols>
  <sheetData>
    <row r="1">
      <c r="A1" s="1" t="inlineStr">
        <is>
          <t>Gliped outreach tracker</t>
        </is>
      </c>
      <c r="B1" s="2" t="inlineStr"/>
    </row>
    <row r="2">
      <c r="A2" s="3" t="inlineStr"/>
      <c r="B2" s="2" t="inlineStr"/>
    </row>
    <row r="3">
      <c r="A3" s="4" t="inlineStr">
        <is>
          <t>Tabs</t>
        </is>
      </c>
      <c r="B3" s="2" t="inlineStr"/>
    </row>
    <row r="4">
      <c r="A4" s="4" t="inlineStr">
        <is>
          <t>Leads</t>
        </is>
      </c>
      <c r="B4" s="2" t="inlineStr">
        <is>
          <t>Every lead with trigger, LinkedIn activity pattern, score and ready-to-send messages. One row per person. Add new batches at the bottom with the next ID (G061, G062, ...).</t>
        </is>
      </c>
    </row>
    <row r="5">
      <c r="A5" s="4" t="inlineStr">
        <is>
          <t>Tracker</t>
        </is>
      </c>
      <c r="B5" s="2" t="inlineStr">
        <is>
          <t>Your working sheet. One row per lead ID. Fill the yellow cells as you go. Names, company, region and tier pull from Leads automatically by ID.</t>
        </is>
      </c>
    </row>
    <row r="6">
      <c r="A6" s="4" t="inlineStr">
        <is>
          <t>Dashboard</t>
        </is>
      </c>
      <c r="B6" s="2" t="inlineStr">
        <is>
          <t>Counts and conversion rates by stage, region and activity pattern. Updates itself from Tracker.</t>
        </is>
      </c>
    </row>
    <row r="7">
      <c r="A7" s="4" t="inlineStr">
        <is>
          <t>Sequence</t>
        </is>
      </c>
      <c r="B7" s="2" t="inlineStr">
        <is>
          <t>The shared outreach cadence, follow-up messages and send times.</t>
        </is>
      </c>
    </row>
    <row r="8">
      <c r="A8" s="4" t="inlineStr">
        <is>
          <t>Lists</t>
        </is>
      </c>
      <c r="B8" s="2" t="inlineStr">
        <is>
          <t>Values behind the drop-downs. Edit here to change the options.</t>
        </is>
      </c>
    </row>
    <row r="9">
      <c r="A9" s="3" t="inlineStr"/>
      <c r="B9" s="2" t="inlineStr"/>
    </row>
    <row r="10">
      <c r="A10" s="4" t="inlineStr">
        <is>
          <t>How to fill the Tracker</t>
        </is>
      </c>
      <c r="B10" s="2" t="inlineStr"/>
    </row>
    <row r="11">
      <c r="A11" s="4" t="inlineStr">
        <is>
          <t>Status</t>
        </is>
      </c>
      <c r="B11" s="2" t="inlineStr">
        <is>
          <t>Pick from the drop-down. Move it forward each time something happens.</t>
        </is>
      </c>
    </row>
    <row r="12">
      <c r="A12" s="4" t="inlineStr">
        <is>
          <t>Date columns</t>
        </is>
      </c>
      <c r="B12" s="2" t="inlineStr">
        <is>
          <t>Type dates as YYYY-MM-DD (for example 2026-09-29). Follow-up due dates calculate themselves.</t>
        </is>
      </c>
    </row>
    <row r="13">
      <c r="A13" s="4" t="inlineStr">
        <is>
          <t>FU1 due</t>
        </is>
      </c>
      <c r="B13" s="2" t="inlineStr">
        <is>
          <t>First DM sent + 4 days. Turns red when overdue and FU1 sent is empty.</t>
        </is>
      </c>
    </row>
    <row r="14">
      <c r="A14" s="4" t="inlineStr">
        <is>
          <t>FU2 due</t>
        </is>
      </c>
      <c r="B14" s="2" t="inlineStr">
        <is>
          <t>FU1 sent + 6 days. Turns red when overdue and FU2 sent is empty.</t>
        </is>
      </c>
    </row>
    <row r="15">
      <c r="A15" s="4" t="inlineStr">
        <is>
          <t>Email</t>
        </is>
      </c>
      <c r="B15" s="2" t="inlineStr">
        <is>
          <t>Paste the verified work email in Leads (Email address). Tracker shows it and counts Email sent + 5 days for the email follow-up. Send LinkedIn first; email is the second channel for leads who don't accept or reply.</t>
        </is>
      </c>
    </row>
    <row r="16">
      <c r="A16" s="4" t="inlineStr">
        <is>
          <t>Days since last touch</t>
        </is>
      </c>
      <c r="B16" s="2" t="inlineStr">
        <is>
          <t>Days since the latest date you've entered in that row.</t>
        </is>
      </c>
    </row>
    <row r="17">
      <c r="A17" s="4" t="inlineStr">
        <is>
          <t>Yellow cells</t>
        </is>
      </c>
      <c r="B17" s="5" t="inlineStr">
        <is>
          <t>The only cells you need to edit. Grey or white cells are formulas or reference data.</t>
        </is>
      </c>
    </row>
    <row r="18">
      <c r="A18" s="3" t="inlineStr"/>
      <c r="B18" s="2" t="inlineStr"/>
    </row>
    <row r="19">
      <c r="A19" s="4" t="inlineStr">
        <is>
          <t>Example row (format only)</t>
        </is>
      </c>
      <c r="B19" s="2" t="inlineStr">
        <is>
          <t>G999 | Status: DM sent | Warm-up started 2026-09-26 | Connection sent 2026-10-01 | Accepted 2026-10-02 | First DM sent 2026-10-02 | FU1 due fills in as 2026-10-06 | Next action: send FU1 teardown offer</t>
        </is>
      </c>
    </row>
    <row r="20">
      <c r="A20" s="3" t="inlineStr"/>
      <c r="B20" s="2" t="inlineStr"/>
    </row>
    <row r="21">
      <c r="A21" s="4" t="inlineStr">
        <is>
          <t>Scoring</t>
        </is>
      </c>
      <c r="B21" s="2" t="inlineStr">
        <is>
          <t>Trigger in last 90 days (max 30) + profile gap (max 20) + fit (10) + active in last 30 days (10). Intent signals were not visible, so add +30 by hand when someone views your profile or engages with Gliped. Tier: 60+ Priority, 40 to 59 Warm, under 40 Nurture.</t>
        </is>
      </c>
    </row>
    <row r="22">
      <c r="A22" s="4" t="inlineStr">
        <is>
          <t>Profile confirmed = No</t>
        </is>
      </c>
      <c r="B22" s="2" t="inlineStr">
        <is>
          <t>The LinkedIn link is a people search. Open it, match company and role, then paste the real profile URL into Leads and set Profile confirmed to Yes.</t>
        </is>
      </c>
    </row>
    <row r="23">
      <c r="A23" s="4" t="inlineStr">
        <is>
          <t>Activity data</t>
        </is>
      </c>
      <c r="B23" s="2" t="inlineStr">
        <is>
          <t>Posting timelines come from publicly indexed LinkedIn posts, dated from each post's activity ID. The index only catches some posts, so 'last indexed own post' means at least that recent.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11" customWidth="1" min="3" max="3"/>
    <col width="22" customWidth="1" min="4" max="4"/>
    <col width="20" customWidth="1" min="5" max="5"/>
    <col width="24" customWidth="1" min="6" max="6"/>
    <col width="10" customWidth="1" min="7" max="7"/>
    <col width="13" customWidth="1" min="8" max="8"/>
    <col width="30" customWidth="1" min="9" max="9"/>
    <col width="10" customWidth="1" min="10" max="10"/>
    <col width="42" customWidth="1" min="11" max="11"/>
    <col width="11" customWidth="1" min="12" max="12"/>
    <col width="24" customWidth="1" min="13" max="13"/>
    <col width="17" customWidth="1" min="14" max="14"/>
    <col width="12" customWidth="1" min="15" max="15"/>
    <col width="50" customWidth="1" min="16" max="16"/>
    <col width="7" customWidth="1" min="17" max="17"/>
    <col width="9" customWidth="1" min="18" max="18"/>
    <col width="45" customWidth="1" min="19" max="19"/>
    <col width="45" customWidth="1" min="20" max="20"/>
    <col width="45" customWidth="1" min="21" max="21"/>
    <col width="40" customWidth="1" min="22" max="22"/>
    <col width="36" customWidth="1" min="23" max="23"/>
    <col width="26" customWidth="1" min="24" max="24"/>
    <col width="26" customWidth="1" min="25" max="25"/>
    <col width="60" customWidth="1" min="26" max="26"/>
    <col width="14" customWidth="1" min="27" max="27"/>
    <col width="36" customWidth="1" min="28" max="28"/>
  </cols>
  <sheetData>
    <row r="1" ht="32" customHeight="1">
      <c r="A1" s="6" t="inlineStr">
        <is>
          <t>ID</t>
        </is>
      </c>
      <c r="B1" s="6" t="inlineStr">
        <is>
          <t>Batch</t>
        </is>
      </c>
      <c r="C1" s="6" t="inlineStr">
        <is>
          <t>Date added</t>
        </is>
      </c>
      <c r="D1" s="6" t="inlineStr">
        <is>
          <t>Name</t>
        </is>
      </c>
      <c r="E1" s="6" t="inlineStr">
        <is>
          <t>Role</t>
        </is>
      </c>
      <c r="F1" s="6" t="inlineStr">
        <is>
          <t>Company</t>
        </is>
      </c>
      <c r="G1" s="6" t="inlineStr">
        <is>
          <t>Region</t>
        </is>
      </c>
      <c r="H1" s="6" t="inlineStr">
        <is>
          <t>City</t>
        </is>
      </c>
      <c r="I1" s="6" t="inlineStr">
        <is>
          <t>LinkedIn URL</t>
        </is>
      </c>
      <c r="J1" s="6" t="inlineStr">
        <is>
          <t>Profile confirmed</t>
        </is>
      </c>
      <c r="K1" s="6" t="inlineStr">
        <is>
          <t>Trigger</t>
        </is>
      </c>
      <c r="L1" s="6" t="inlineStr">
        <is>
          <t>Trigger date</t>
        </is>
      </c>
      <c r="M1" s="6" t="inlineStr">
        <is>
          <t>Source</t>
        </is>
      </c>
      <c r="N1" s="6" t="inlineStr">
        <is>
          <t>Activity pattern</t>
        </is>
      </c>
      <c r="O1" s="6" t="inlineStr">
        <is>
          <t>Last indexed own post</t>
        </is>
      </c>
      <c r="P1" s="6" t="inlineStr">
        <is>
          <t>Activity notes</t>
        </is>
      </c>
      <c r="Q1" s="6" t="inlineStr">
        <is>
          <t>Score</t>
        </is>
      </c>
      <c r="R1" s="6" t="inlineStr">
        <is>
          <t>Tier</t>
        </is>
      </c>
      <c r="S1" s="6" t="inlineStr">
        <is>
          <t>Angle</t>
        </is>
      </c>
      <c r="T1" s="6" t="inlineStr">
        <is>
          <t>Connection note</t>
        </is>
      </c>
      <c r="U1" s="6" t="inlineStr">
        <is>
          <t>First DM</t>
        </is>
      </c>
      <c r="V1" s="6" t="inlineStr">
        <is>
          <t>Teardown focus</t>
        </is>
      </c>
      <c r="W1" s="6" t="inlineStr">
        <is>
          <t>Notes</t>
        </is>
      </c>
      <c r="X1" s="6" t="inlineStr">
        <is>
          <t>Email address</t>
        </is>
      </c>
      <c r="Y1" s="6" t="inlineStr">
        <is>
          <t>Email subject</t>
        </is>
      </c>
      <c r="Z1" s="6" t="inlineStr">
        <is>
          <t>Email body</t>
        </is>
      </c>
      <c r="AA1" s="6" t="inlineStr">
        <is>
          <t>Email status</t>
        </is>
      </c>
      <c r="AB1" s="6" t="inlineStr">
        <is>
          <t>Email lookup note</t>
        </is>
      </c>
    </row>
    <row r="2" ht="96" customHeight="1">
      <c r="A2" s="7" t="inlineStr">
        <is>
          <t>G001</t>
        </is>
      </c>
      <c r="B2" s="7" t="inlineStr">
        <is>
          <t>01</t>
        </is>
      </c>
      <c r="C2" s="7" t="inlineStr">
        <is>
          <t>2026-09-22</t>
        </is>
      </c>
      <c r="D2" s="7" t="inlineStr">
        <is>
          <t>Ravi Ramachandran</t>
        </is>
      </c>
      <c r="E2" s="7" t="inlineStr">
        <is>
          <t>Founder &amp; CEO</t>
        </is>
      </c>
      <c r="F2" s="7" t="inlineStr">
        <is>
          <t>Nua</t>
        </is>
      </c>
      <c r="G2" s="7" t="inlineStr">
        <is>
          <t>India</t>
        </is>
      </c>
      <c r="H2" s="7" t="inlineStr"/>
      <c r="I2" s="8" t="inlineStr">
        <is>
          <t>https://www.linkedin.com/in/ravishankarramachandran</t>
        </is>
      </c>
      <c r="J2" s="9" t="inlineStr">
        <is>
          <t>Yes</t>
        </is>
      </c>
      <c r="K2" s="7" t="inlineStr">
        <is>
          <t>$50M Series C led by Peak XV and Filter Capital, around 7 Sep 2026.</t>
        </is>
      </c>
      <c r="L2" s="7" t="inlineStr">
        <is>
          <t>2026-09</t>
        </is>
      </c>
      <c r="M2" s="7" t="inlineStr"/>
      <c r="N2" s="7" t="inlineStr">
        <is>
          <t>Milestone-only</t>
        </is>
      </c>
      <c r="O2" s="7" t="inlineStr">
        <is>
          <t>2026-02</t>
        </is>
      </c>
      <c r="P2" s="7" t="inlineStr">
        <is>
          <t>milestone-only. Indexed posts: the Nua x Zepto "zero irritation promise" campaign (Apr 2025) and a "Zero to Scale" video episode on building Nua (Feb 2026). The Series C shows up through FemTech Insider's post, but no post of his own is indexed yet.</t>
        </is>
      </c>
      <c r="Q2" s="7" t="n">
        <v>60</v>
      </c>
      <c r="R2" s="7">
        <f>IF(Q2&gt;=60,"Priority",IF(Q2&gt;=40,"Warm","Nurture"))</f>
        <v/>
      </c>
      <c r="S2" s="7" t="inlineStr">
        <is>
          <t>the post-Series C window. Hiring, category leadership, and keeping the founder story alive between campaigns.</t>
        </is>
      </c>
      <c r="T2" s="7" t="inlineStr">
        <is>
          <t>Hi Ravi, congrats on the Series C.
Came across your Zero to Scale episode on building Nua. [one line on a specific moment from it]
Would be good to connect.</t>
        </is>
      </c>
      <c r="U2" s="7" t="inlineStr">
        <is>
          <t>Thanks for connecting, Ravi.
Quick one. After a round like this, is your own LinkedIn something you want to put real time into?
Or is Nua's page doing that job for now?</t>
        </is>
      </c>
      <c r="V2" s="7" t="inlineStr">
        <is>
          <t>headline vs the Series C story, no featured section pointing to Nua, and the gap between the video episode and what he writes himself.</t>
        </is>
      </c>
      <c r="W2" s="7" t="inlineStr">
        <is>
          <t>India. Warm, respectful tone. Expect a CoS or comms lead in the decision.</t>
        </is>
      </c>
      <c r="X2" s="9" t="inlineStr">
        <is>
          <t>ravi@nuawoman.com</t>
        </is>
      </c>
      <c r="Y2" s="7" t="inlineStr">
        <is>
          <t>Nua after the Series C</t>
        </is>
      </c>
      <c r="Z2" s="7" t="inlineStr">
        <is>
          <t>Hi Ravi,
Congrats on the $50M Series C.
Nua's story gets told at big moments, like the Zero to Scale episode, then it goes quiet. In women's wellness, the founder's voice is a trust asset between campaigns too.
We run LinkedIn for founders: strategy, writing and posting, built around your voice.
Worth a 15-minute call next week to see what that could look like for you?
Prabal
Gliped | LinkedIn personal branding for founders
Not relevant? Reply "no" and I won't follow up.</t>
        </is>
      </c>
      <c r="AA2" s="7" t="inlineStr">
        <is>
          <t>Verified</t>
        </is>
      </c>
      <c r="AB2" s="7" t="inlineStr">
        <is>
          <t>Prospeo SMTP</t>
        </is>
      </c>
    </row>
    <row r="3" ht="96" customHeight="1">
      <c r="A3" s="7" t="inlineStr">
        <is>
          <t>G002</t>
        </is>
      </c>
      <c r="B3" s="7" t="inlineStr">
        <is>
          <t>01</t>
        </is>
      </c>
      <c r="C3" s="7" t="inlineStr">
        <is>
          <t>2026-09-22</t>
        </is>
      </c>
      <c r="D3" s="7" t="inlineStr">
        <is>
          <t>Karishma Rathaur</t>
        </is>
      </c>
      <c r="E3" s="7" t="inlineStr">
        <is>
          <t>Co-founder</t>
        </is>
      </c>
      <c r="F3" s="7" t="inlineStr">
        <is>
          <t>Firi</t>
        </is>
      </c>
      <c r="G3" s="7" t="inlineStr">
        <is>
          <t>India</t>
        </is>
      </c>
      <c r="H3" s="7" t="inlineStr"/>
      <c r="I3" s="8" t="inlineStr">
        <is>
          <t>https://www.linkedin.com/in/karishmarathaur</t>
        </is>
      </c>
      <c r="J3" s="9" t="inlineStr">
        <is>
          <t>Yes</t>
        </is>
      </c>
      <c r="K3" s="7" t="inlineStr">
        <is>
          <t>Firi was incorporated in June 2026 and raised a $3M seed led by 360 ONE Asset, with Better Capital and Kunal Shah, in September. It runs 9-minute beauty delivery in Gurugram. Before this she co-built Honestly; she and co-founder Vivek Madani met at Uber India and Flipkart.</t>
        </is>
      </c>
      <c r="L3" s="7" t="inlineStr">
        <is>
          <t>2026-06</t>
        </is>
      </c>
      <c r="M3" s="7" t="inlineStr"/>
      <c r="N3" s="7" t="inlineStr">
        <is>
          <t>Milestone-only</t>
        </is>
      </c>
      <c r="O3" s="7" t="inlineStr">
        <is>
          <t>2024-04</t>
        </is>
      </c>
      <c r="P3" s="7" t="inlineStr">
        <is>
          <t>almost invisible. One indexed personal post, about advice she got growing up (Apr 2024).</t>
        </is>
      </c>
      <c r="Q3" s="7" t="n">
        <v>60</v>
      </c>
      <c r="R3" s="7">
        <f>IF(Q3&gt;=60,"Priority",IF(Q3&gt;=40,"Warm","Nurture"))</f>
        <v/>
      </c>
      <c r="S3" s="7" t="inlineStr">
        <is>
          <t>a launch-stage founder brand. Customers, first hires, and the next round all check the founder.</t>
        </is>
      </c>
      <c r="T3" s="7" t="inlineStr">
        <is>
          <t>Hi Karishma, saw the Firi news. Nine-minute beauty delivery is a bold promise.
Following what you and Vivek are building. Would be good to connect.</t>
        </is>
      </c>
      <c r="U3" s="7" t="inlineStr">
        <is>
          <t>Thanks for connecting, Karishma.
Curious how you're thinking about your own voice for Firi.
In beauty, people buy from people. Is founder content part of the launch plan?</t>
        </is>
      </c>
      <c r="V3" s="7" t="inlineStr">
        <is>
          <t>headline still reflecting the old role, no Firi story on the profile, and what three posts a month could look like (building dark stores, what the AI picks up from Reddit and YouTube reviews, operator lessons from Uber and Flipkart).</t>
        </is>
      </c>
      <c r="W3" s="7" t="inlineStr">
        <is>
          <t>India, early stage and price-conscious. Lead with a starter plan and mention the pilot option early.</t>
        </is>
      </c>
      <c r="X3" s="9" t="inlineStr"/>
      <c r="Y3" s="7" t="inlineStr">
        <is>
          <t>Firi's founder story</t>
        </is>
      </c>
      <c r="Z3" s="7" t="inlineStr">
        <is>
          <t>Hi Karishma,
Nine-minute beauty delivery and a seed round in the same quarter. Strong start.
In beauty, people buy from people. Right now Firi's story lives in press coverage, not on your LinkedIn, and that's where hires, partners and your next investors will look.
We build founder brands on LinkedIn, from positioning to weekly posts.
Open to a quick call to map out your first 90 days?
Prabal
Gliped | LinkedIn personal branding for founders
Not relevant? Reply "no" and I won't follow up.</t>
        </is>
      </c>
      <c r="AA3" s="7" t="inlineStr">
        <is>
          <t>Not found</t>
        </is>
      </c>
      <c r="AB3" s="7" t="inlineStr"/>
    </row>
    <row r="4" ht="96" customHeight="1">
      <c r="A4" s="7" t="inlineStr">
        <is>
          <t>G003</t>
        </is>
      </c>
      <c r="B4" s="7" t="inlineStr">
        <is>
          <t>01</t>
        </is>
      </c>
      <c r="C4" s="7" t="inlineStr">
        <is>
          <t>2026-09-22</t>
        </is>
      </c>
      <c r="D4" s="7" t="inlineStr">
        <is>
          <t>Sadra Hosseini</t>
        </is>
      </c>
      <c r="E4" s="7" t="inlineStr">
        <is>
          <t>Co-founder &amp; CEO</t>
        </is>
      </c>
      <c r="F4" s="7" t="inlineStr">
        <is>
          <t>Ryft</t>
        </is>
      </c>
      <c r="G4" s="7" t="inlineStr">
        <is>
          <t>UK</t>
        </is>
      </c>
      <c r="H4" s="7" t="inlineStr"/>
      <c r="I4" s="8" t="inlineStr">
        <is>
          <t>https://www.linkedin.com/in/sadra-hosseini</t>
        </is>
      </c>
      <c r="J4" s="9" t="inlineStr">
        <is>
          <t>Yes</t>
        </is>
      </c>
      <c r="K4" s="7" t="inlineStr">
        <is>
          <t>€23M to speed up European expansion, Sep 2026.</t>
        </is>
      </c>
      <c r="L4" s="7" t="inlineStr">
        <is>
          <t>2026-09</t>
        </is>
      </c>
      <c r="M4" s="7" t="inlineStr"/>
      <c r="N4" s="7" t="inlineStr">
        <is>
          <t>Went quiet</t>
        </is>
      </c>
      <c r="O4" s="7" t="inlineStr">
        <is>
          <t>2025-04</t>
        </is>
      </c>
      <c r="P4" s="7" t="inlineStr">
        <is>
          <t>went quiet. From 2022 to 2025 he posted steadily: FCA licence (56 comments), a practical post for founders who are fundraising, marketplace payments posts, Innovate UK grant. The last indexed post is Apr 2025.</t>
        </is>
      </c>
      <c r="Q4" s="7" t="n">
        <v>60</v>
      </c>
      <c r="R4" s="7">
        <f>IF(Q4&gt;=60,"Priority",IF(Q4&gt;=40,"Warm","Nurture"))</f>
        <v/>
      </c>
      <c r="S4" s="7" t="inlineStr">
        <is>
          <t>entering new markets. Buyers in France, Germany and the Netherlands will look him up before taking a call.</t>
        </is>
      </c>
      <c r="T4" s="7" t="inlineStr">
        <is>
          <t>Hi Sadra, congrats on the raise and the push into Europe.
Came across your post with advice for founders who are fundraising. [one line on the point you agreed with]
Would be good to connect.</t>
        </is>
      </c>
      <c r="U4" s="7" t="inlineStr">
        <is>
          <t>Thanks for connecting, Sadra.
One question. With Europe in focus, do you see your own LinkedIn doing any of the market-entry work?
Or is that all sales and partnerships?</t>
        </is>
      </c>
      <c r="V4" s="7" t="inlineStr">
        <is>
          <t>a UK-only framing, the last post being 17 months ago, and a content line on marketplace payments for EU platforms.</t>
        </is>
      </c>
      <c r="W4" s="7" t="inlineStr">
        <is>
          <t>UK. Plain and understated. "Might be useful" over "huge opportunity".</t>
        </is>
      </c>
      <c r="X4" s="9" t="inlineStr">
        <is>
          <t>sadra@ryftpay.com</t>
        </is>
      </c>
      <c r="Y4" s="7" t="inlineStr">
        <is>
          <t>Ryft's European push</t>
        </is>
      </c>
      <c r="Z4" s="7" t="inlineStr">
        <is>
          <t>Hi Sadra,
Congrats on the EUR 23M and the move into Europe.
Buyers in new markets will look you up before they take a call. Your last post was in April 2025, and your FCA licence post shows your audience responds when you do post.
We help founders turn that into a steady weekly presence without eating their week.
Worth 15 minutes to talk through a Europe-facing plan?
Prabal
Gliped | LinkedIn personal branding for founders
Not relevant? Reply "no" and I won't follow up.</t>
        </is>
      </c>
      <c r="AA4" s="7" t="inlineStr">
        <is>
          <t>Verified</t>
        </is>
      </c>
      <c r="AB4" s="7" t="inlineStr">
        <is>
          <t>Prospeo SMTP</t>
        </is>
      </c>
    </row>
    <row r="5" ht="96" customHeight="1">
      <c r="A5" s="7" t="inlineStr">
        <is>
          <t>G004</t>
        </is>
      </c>
      <c r="B5" s="7" t="inlineStr">
        <is>
          <t>01</t>
        </is>
      </c>
      <c r="C5" s="7" t="inlineStr">
        <is>
          <t>2026-09-22</t>
        </is>
      </c>
      <c r="D5" s="7" t="inlineStr">
        <is>
          <t>Erin Kelly</t>
        </is>
      </c>
      <c r="E5" s="7" t="inlineStr">
        <is>
          <t>Co-founder &amp; CEO</t>
        </is>
      </c>
      <c r="F5" s="7" t="inlineStr">
        <is>
          <t>askpolly</t>
        </is>
      </c>
      <c r="G5" s="7" t="inlineStr">
        <is>
          <t>Canada</t>
        </is>
      </c>
      <c r="H5" s="7" t="inlineStr"/>
      <c r="I5" s="8" t="inlineStr">
        <is>
          <t>https://www.linkedin.com/in/erinottawa</t>
        </is>
      </c>
      <c r="J5" s="9" t="inlineStr">
        <is>
          <t>Yes</t>
        </is>
      </c>
      <c r="K5" s="7" t="inlineStr">
        <is>
          <t>$3M seed led by Differential Ventures (with The 98 and Forum Ventures), Sep 2026, to grow go-to-market in the US. askpolly grew out of Advanced Symbolics and turns social media conversations into market research.</t>
        </is>
      </c>
      <c r="L5" s="7" t="inlineStr">
        <is>
          <t>2026-09</t>
        </is>
      </c>
      <c r="M5" s="7" t="inlineStr"/>
      <c r="N5" s="7" t="inlineStr">
        <is>
          <t>Went quiet</t>
        </is>
      </c>
      <c r="O5" s="7" t="inlineStr">
        <is>
          <t>2024-06</t>
        </is>
      </c>
      <c r="P5" s="7" t="inlineStr">
        <is>
          <t>went quiet. Sporadic posts (a hotel-industry marketing post, Jun 2024), and the company ran its own webinars and an AMA.</t>
        </is>
      </c>
      <c r="Q5" s="7" t="n">
        <v>60</v>
      </c>
      <c r="R5" s="7">
        <f>IF(Q5&gt;=60,"Priority",IF(Q5&gt;=40,"Warm","Nurture"))</f>
        <v/>
      </c>
      <c r="S5" s="7" t="inlineStr">
        <is>
          <t>US buyers don't know her yet. One askpolly insight post a week would work as both content and product demo.</t>
        </is>
      </c>
      <c r="T5" s="7" t="inlineStr">
        <is>
          <t>Hi Erin, congrats on the seed and the US push.
Turning social conversations into valid research is a smart angle.
Would be good to connect.</t>
        </is>
      </c>
      <c r="U5" s="7" t="inlineStr">
        <is>
          <t>Thanks for connecting, Erin.
Honest question. askpolly surfaces the kind of insight that does really well on LinkedIn.
Have you thought about posting some of it under your own name for the US market?</t>
        </is>
      </c>
      <c r="V5" s="7" t="inlineStr">
        <is>
          <t>a profile framed around Ottawa and Canada, no featured insight or demo, and a weekly "what people are actually saying about X" format.</t>
        </is>
      </c>
      <c r="W5" s="7" t="inlineStr">
        <is>
          <t>Canada. Polite and practical. If you email, CASL applies: it must be relevant to her role and include an unsubscribe. CASL applies to email</t>
        </is>
      </c>
      <c r="X5" s="9" t="inlineStr"/>
      <c r="Y5" s="7" t="inlineStr">
        <is>
          <t>askpolly's US launch</t>
        </is>
      </c>
      <c r="Z5" s="7" t="inlineStr">
        <is>
          <t>Hi Erin,
Congrats on the seed and the US go-to-market push.
askpolly turns social conversations into insight. That kind of data does very well on LinkedIn, and right now none of it goes out under your name to the US buyers you want to reach.
We build founder brands on LinkedIn, one insight post a week to start.
Open to a 15-minute call to sketch it out?
Prabal
Gliped | LinkedIn personal branding for founders
Not relevant? Reply "no" and I won't follow up.</t>
        </is>
      </c>
      <c r="AA5" s="7" t="inlineStr">
        <is>
          <t>Not found</t>
        </is>
      </c>
      <c r="AB5" s="7" t="inlineStr"/>
    </row>
    <row r="6" ht="96" customHeight="1">
      <c r="A6" s="7" t="inlineStr">
        <is>
          <t>G005</t>
        </is>
      </c>
      <c r="B6" s="7" t="inlineStr">
        <is>
          <t>01</t>
        </is>
      </c>
      <c r="C6" s="7" t="inlineStr">
        <is>
          <t>2026-09-22</t>
        </is>
      </c>
      <c r="D6" s="7" t="inlineStr">
        <is>
          <t>Radhika Patil</t>
        </is>
      </c>
      <c r="E6" s="7" t="inlineStr">
        <is>
          <t>Co-founder &amp; CEO</t>
        </is>
      </c>
      <c r="F6" s="7" t="inlineStr">
        <is>
          <t>Cradlewise</t>
        </is>
      </c>
      <c r="G6" s="7" t="inlineStr">
        <is>
          <t>US</t>
        </is>
      </c>
      <c r="H6" s="7" t="inlineStr"/>
      <c r="I6" s="8" t="inlineStr">
        <is>
          <t>https://www.linkedin.com/in/radhika-gandhi-patil</t>
        </is>
      </c>
      <c r="J6" s="9" t="inlineStr">
        <is>
          <t>Yes</t>
        </is>
      </c>
      <c r="K6" s="7" t="inlineStr">
        <is>
          <t>$12M Series A led by 3one4 Capital and Prudent, Sep 2026, for channel expansion, R&amp;D and international markets. She's on the Forbes Technology Council.</t>
        </is>
      </c>
      <c r="L6" s="7" t="inlineStr">
        <is>
          <t>2026-09</t>
        </is>
      </c>
      <c r="M6" s="7" t="inlineStr"/>
      <c r="N6" s="7" t="inlineStr">
        <is>
          <t>Milestone-only</t>
        </is>
      </c>
      <c r="O6" s="7" t="inlineStr">
        <is>
          <t>2023-06</t>
        </is>
      </c>
      <c r="P6" s="7" t="inlineStr">
        <is>
          <t>milestone-only, and silent recently. Indexed posts: product design award (2019), $7M raise (Nov 2021), US team growth (Apr 2022), #startupstories (Jun 2023). Nothing indexed since mid-2023.</t>
        </is>
      </c>
      <c r="Q6" s="7" t="n">
        <v>60</v>
      </c>
      <c r="R6" s="7">
        <f>IF(Q6&gt;=60,"Priority",IF(Q6&gt;=40,"Warm","Nurture"))</f>
        <v/>
      </c>
      <c r="S6" s="7" t="inlineStr">
        <is>
          <t>a consumer hardware brand entering new markets. Her public voice builds retail partner and parent trust.</t>
        </is>
      </c>
      <c r="T6" s="7" t="inlineStr">
        <is>
          <t>Hi Radhika, congrats on the Series A.
Cradlewise has been one of the more thoughtful hardware stories out of the India-US corridor.
Would be good to connect.</t>
        </is>
      </c>
      <c r="U6" s="7" t="inlineStr">
        <is>
          <t>Thanks for connecting, Radhika.
Quick one. With new channels and markets coming, do you want your own LinkedIn doing some of that trust-building?
Or is it mostly a press and product-led push?</t>
        </is>
      </c>
      <c r="V6" s="7" t="inlineStr">
        <is>
          <t>activity gap since 2023, a featured section that doesn't reflect the Series A, and a content line on sleep science plus building hardware across two countries.</t>
        </is>
      </c>
      <c r="W6" s="7" t="inlineStr">
        <is>
          <t>US, based in SF, with an India connection. Be direct but warm.</t>
        </is>
      </c>
      <c r="X6" s="9" t="inlineStr"/>
      <c r="Y6" s="7" t="inlineStr">
        <is>
          <t>Cradlewise, new markets</t>
        </is>
      </c>
      <c r="Z6" s="7" t="inlineStr">
        <is>
          <t>Hi Radhika,
Congrats on the Series A and the international push.
You've built great press around Cradlewise, but your own LinkedIn has been quiet since mid-2023. New retail partners and parents will look you up first.
We run LinkedIn for founders: positioning, writing and a steady posting rhythm in your voice.
Would a 15-minute call next week be useful?
Prabal
Gliped | LinkedIn personal branding for founders
Not relevant? Reply "no" and I won't follow up.</t>
        </is>
      </c>
      <c r="AA6" s="7" t="inlineStr">
        <is>
          <t>Not found</t>
        </is>
      </c>
      <c r="AB6" s="7" t="inlineStr"/>
    </row>
    <row r="7" ht="96" customHeight="1">
      <c r="A7" s="7" t="inlineStr">
        <is>
          <t>G006</t>
        </is>
      </c>
      <c r="B7" s="7" t="inlineStr">
        <is>
          <t>01</t>
        </is>
      </c>
      <c r="C7" s="7" t="inlineStr">
        <is>
          <t>2026-09-22</t>
        </is>
      </c>
      <c r="D7" s="7" t="inlineStr">
        <is>
          <t>Shourya Agarwal</t>
        </is>
      </c>
      <c r="E7" s="7" t="inlineStr">
        <is>
          <t>Founder &amp; CEO</t>
        </is>
      </c>
      <c r="F7" s="7" t="inlineStr">
        <is>
          <t>Flam</t>
        </is>
      </c>
      <c r="G7" s="7" t="inlineStr">
        <is>
          <t>US/India</t>
        </is>
      </c>
      <c r="H7" s="7" t="inlineStr"/>
      <c r="I7" s="8" t="inlineStr">
        <is>
          <t>https://www.linkedin.com/in/shourya-agarwal-015947b5</t>
        </is>
      </c>
      <c r="J7" s="9" t="inlineStr">
        <is>
          <t>Yes</t>
        </is>
      </c>
      <c r="K7" s="7" t="inlineStr">
        <is>
          <t>$40M Series B led by QED Investors, Sep 2026, with Olivier Pomel, Martin Chavez and Shah Rukh Khan among the backers.</t>
        </is>
      </c>
      <c r="L7" s="7" t="inlineStr">
        <is>
          <t>2026-09</t>
        </is>
      </c>
      <c r="M7" s="7" t="inlineStr"/>
      <c r="N7" s="7" t="inlineStr">
        <is>
          <t>Company-news voice</t>
        </is>
      </c>
      <c r="O7" s="7" t="inlineStr">
        <is>
          <t>2025-06</t>
        </is>
      </c>
      <c r="P7" s="7" t="inlineStr">
        <is>
          <t>company-news voice. Regular posts through mid-2025 about customer wins (Aditya Birla Capital, Axis Max Life, Salesforce, Business Today), each one a logo announcement. Last indexed Jun 2025.</t>
        </is>
      </c>
      <c r="Q7" s="7" t="n">
        <v>60</v>
      </c>
      <c r="R7" s="7">
        <f>IF(Q7&gt;=60,"Priority",IF(Q7&gt;=40,"Warm","Nurture"))</f>
        <v/>
      </c>
      <c r="S7" s="7" t="inlineStr">
        <is>
          <t>the buyers are CMOs, and they follow people. A point of view on "content people interact with" fits his product exactly.</t>
        </is>
      </c>
      <c r="T7" s="7" t="inlineStr">
        <is>
          <t>Hi Shourya, congrats on the Series B.
The Salesforce and Axis Max Life rollouts on Flam were interesting to follow.
Would be good to connect.</t>
        </is>
      </c>
      <c r="U7" s="7" t="inlineStr">
        <is>
          <t>Thanks for connecting, Shourya.
Curious, with the US push, do you see your own LinkedIn as part of how CMOs discover Flam?
Right now the posts are mostly launches, which undersells the thinking behind it.</t>
        </is>
      </c>
      <c r="V7" s="7" t="inlineStr">
        <is>
          <t>all posts are announcements, no view of his own on the future of brand content, and no US-facing framing.</t>
        </is>
      </c>
      <c r="W7" s="7" t="inlineStr">
        <is>
          <t>SF and Bengaluru. Use a US-direct tone and offer IST or PT slots.</t>
        </is>
      </c>
      <c r="X7" s="9" t="inlineStr">
        <is>
          <t>shourya@flamapp.com</t>
        </is>
      </c>
      <c r="Y7" s="7" t="inlineStr">
        <is>
          <t>Flam and US CMOs</t>
        </is>
      </c>
      <c r="Z7" s="7" t="inlineStr">
        <is>
          <t>Hi Shourya,
Congrats on the $40M Series B.
Flam sells interactive content to CMOs, yet your feed is mostly launch announcements. CMOs follow people with a point of view, and yours is the story behind Flam.
We help founders build that voice on LinkedIn, from strategy to weekly posts.
Open to 15 minutes to talk through a US-facing plan?
Prabal
Gliped | LinkedIn personal branding for founders
Not relevant? Reply "no" and I won't follow up.</t>
        </is>
      </c>
      <c r="AA7" s="7" t="inlineStr">
        <is>
          <t>Verified</t>
        </is>
      </c>
      <c r="AB7" s="7" t="inlineStr">
        <is>
          <t>Prospeo BOUNCEBAN</t>
        </is>
      </c>
    </row>
    <row r="8" ht="96" customHeight="1">
      <c r="A8" s="7" t="inlineStr">
        <is>
          <t>G007</t>
        </is>
      </c>
      <c r="B8" s="7" t="inlineStr">
        <is>
          <t>01</t>
        </is>
      </c>
      <c r="C8" s="7" t="inlineStr">
        <is>
          <t>2026-09-22</t>
        </is>
      </c>
      <c r="D8" s="7" t="inlineStr">
        <is>
          <t>Jagnoor Singh</t>
        </is>
      </c>
      <c r="E8" s="7" t="inlineStr">
        <is>
          <t>CEO</t>
        </is>
      </c>
      <c r="F8" s="7" t="inlineStr">
        <is>
          <t>Practo</t>
        </is>
      </c>
      <c r="G8" s="7" t="inlineStr">
        <is>
          <t>India</t>
        </is>
      </c>
      <c r="H8" s="7" t="inlineStr"/>
      <c r="I8" s="8" t="inlineStr">
        <is>
          <t>https://www.linkedin.com/in/jagnoors</t>
        </is>
      </c>
      <c r="J8" s="9" t="inlineStr">
        <is>
          <t>Yes</t>
        </is>
      </c>
      <c r="K8" s="7" t="inlineStr">
        <is>
          <t>named CEO effective 1 Sep 2026, after joining as COO in Jan 2025. Previously held senior roles at Airtel, Unacademy and OYO. Practo reports 40% growth and has been profitable for 2.5 years.</t>
        </is>
      </c>
      <c r="L8" s="7" t="inlineStr">
        <is>
          <t>2026-09</t>
        </is>
      </c>
      <c r="M8" s="7" t="inlineStr"/>
      <c r="N8" s="7" t="inlineStr">
        <is>
          <t>Emerging writer</t>
        </is>
      </c>
      <c r="O8" s="7" t="inlineStr">
        <is>
          <t>2026-07</t>
        </is>
      </c>
      <c r="P8" s="7" t="inlineStr">
        <is>
          <t>emerging writer. Original leadership and health posts roughly every quarter: #growprofitably (Feb 2025, 56 comments), preventive health (Apr 2026), "Firm in meetings, approachable outside" (Jul 2026).</t>
        </is>
      </c>
      <c r="Q8" s="7" t="n">
        <v>50</v>
      </c>
      <c r="R8" s="7">
        <f>IF(Q8&gt;=60,"Priority",IF(Q8&gt;=40,"Warm","Nurture"))</f>
        <v/>
      </c>
      <c r="S8" s="7" t="inlineStr">
        <is>
          <t>building a CEO voice distinct from the founder's.</t>
        </is>
      </c>
      <c r="T8" s="7" t="inlineStr">
        <is>
          <t>Hi Jagnoor, congrats on the CEO role.
Saw your post on being firm in meetings and approachable outside. [one line on why it landed]
Would be good to connect.</t>
        </is>
      </c>
      <c r="U8" s="7" t="inlineStr">
        <is>
          <t>Thanks for connecting, Jagnoor.
The first months in a CEO seat are when people decide what you stand for.
Is LinkedIn part of how you want to set that, or more of a side channel?</t>
        </is>
      </c>
      <c r="V8" s="7" t="inlineStr">
        <is>
          <t>a headline still in COO mode (check this), no CEO narrative yet, and a cadence of one post a quarter against a potential of one a week.</t>
        </is>
      </c>
      <c r="W8" s="7" t="inlineStr">
        <is>
          <t>same company as lead 19. Message Jagnoor first. Don't contact Shashank in the same week. If Jagnoor replies, the pitch can grow into a leadership pair (founder plus CEO). Contact before Shashank ND</t>
        </is>
      </c>
      <c r="X8" s="9" t="inlineStr">
        <is>
          <t>jagnoor.singh@practo.com</t>
        </is>
      </c>
      <c r="Y8" s="7" t="inlineStr">
        <is>
          <t>Your first 100 days</t>
        </is>
      </c>
      <c r="Z8" s="7" t="inlineStr">
        <is>
          <t>Hi Jagnoor,
Congrats on stepping in as Practo's CEO.
The first months in the seat are when the market decides what a CEO stands for. Your posts get real engagement (56 comments on #growprofitably), but they come about once a quarter.
We help CXOs turn that into a steady, credible weekly presence with little time from them.
Worth a 15-minute call to map your first 100 days on LinkedIn?
Prabal
Gliped | LinkedIn personal branding for founders
Not relevant? Reply "no" and I won't follow up.</t>
        </is>
      </c>
      <c r="AA8" s="7" t="inlineStr">
        <is>
          <t>Verified</t>
        </is>
      </c>
      <c r="AB8" s="7" t="inlineStr">
        <is>
          <t>Prospeo BOUNCEBAN Prospeo profile linkedin.com/in/jagnoor-singh-65580910 (title still COO)</t>
        </is>
      </c>
    </row>
    <row r="9" ht="96" customHeight="1">
      <c r="A9" s="7" t="inlineStr">
        <is>
          <t>G008</t>
        </is>
      </c>
      <c r="B9" s="7" t="inlineStr">
        <is>
          <t>01</t>
        </is>
      </c>
      <c r="C9" s="7" t="inlineStr">
        <is>
          <t>2026-09-22</t>
        </is>
      </c>
      <c r="D9" s="7" t="inlineStr">
        <is>
          <t>Madhulima Tewari</t>
        </is>
      </c>
      <c r="E9" s="7" t="inlineStr">
        <is>
          <t>CEO</t>
        </is>
      </c>
      <c r="F9" s="7" t="inlineStr">
        <is>
          <t>VerifAIX</t>
        </is>
      </c>
      <c r="G9" s="7" t="inlineStr">
        <is>
          <t>India/US</t>
        </is>
      </c>
      <c r="H9" s="7" t="inlineStr"/>
      <c r="I9" s="8" t="inlineStr">
        <is>
          <t>https://www.linkedin.com/in/maddietewari</t>
        </is>
      </c>
      <c r="J9" s="9" t="inlineStr">
        <is>
          <t>Yes</t>
        </is>
      </c>
      <c r="K9" s="7" t="inlineStr">
        <is>
          <t>$5M seed co-led by Endiya Partners and Bluehill VC, Sep 2026, for product, customer deployments and engineering hires. Co-founders are Kenneth Roe and Avner Landver.</t>
        </is>
      </c>
      <c r="L9" s="7" t="inlineStr">
        <is>
          <t>2026-09</t>
        </is>
      </c>
      <c r="M9" s="7" t="inlineStr"/>
      <c r="N9" s="7" t="inlineStr">
        <is>
          <t>Milestone-only</t>
        </is>
      </c>
      <c r="O9" s="7" t="inlineStr">
        <is>
          <t>2025-10</t>
        </is>
      </c>
      <c r="P9" s="7" t="inlineStr">
        <is>
          <t>milestone-only. The one indexed post is about the RISC-V Summit (Oct 2025).</t>
        </is>
      </c>
      <c r="Q9" s="7" t="n">
        <v>50</v>
      </c>
      <c r="R9" s="7">
        <f>IF(Q9&gt;=60,"Priority",IF(Q9&gt;=40,"Warm","Nurture"))</f>
        <v/>
      </c>
      <c r="S9" s="7" t="inlineStr">
        <is>
          <t>a technical thought-leadership voice to build trust with semiconductor buyers and senior engineers.</t>
        </is>
      </c>
      <c r="T9" s="7" t="inlineStr">
        <is>
          <t>Hi Madhulima, congrats on the seed.
An AI trust layer for chip verification is a real gap. Saw VerifAIX at the RISC-V Summit.
Would be good to connect.</t>
        </is>
      </c>
      <c r="U9" s="7" t="inlineStr">
        <is>
          <t>Thanks for connecting, Madhulima.
In a field this specialised, a few people deciding to trust you matters more than reach.
Is your LinkedIn part of how you reach verification leads, or mostly conferences?</t>
        </is>
      </c>
      <c r="V9" s="7" t="inlineStr">
        <is>
          <t>posts only at events, a profile that doesn't explain VerifAIX in one line, and a content line on verification bottlenecks.</t>
        </is>
      </c>
      <c r="W9" s="7" t="inlineStr">
        <is>
          <t>confirm where she's based before sending (India or US) and set the tone to match. Confirm location</t>
        </is>
      </c>
      <c r="X9" s="9" t="inlineStr"/>
      <c r="Y9" s="7" t="inlineStr">
        <is>
          <t>VerifAIX, trust first</t>
        </is>
      </c>
      <c r="Z9" s="7" t="inlineStr">
        <is>
          <t>Hi Madhulima,
Congrats on the $5M seed.
In chip verification a handful of senior engineers decide who they trust. Right now VerifAIX shows up at events like the RISC-V Summit, but not much on LinkedIn between them.
We build technical founder brands on LinkedIn, aimed at the few people who matter.
Open to a quick call to see if it fits?
Prabal
Gliped | LinkedIn personal branding for founders
Not relevant? Reply "no" and I won't follow up.</t>
        </is>
      </c>
      <c r="AA9" s="7" t="inlineStr">
        <is>
          <t>Not found</t>
        </is>
      </c>
      <c r="AB9" s="7" t="inlineStr"/>
    </row>
    <row r="10" ht="96" customHeight="1">
      <c r="A10" s="7" t="inlineStr">
        <is>
          <t>G009</t>
        </is>
      </c>
      <c r="B10" s="7" t="inlineStr">
        <is>
          <t>01</t>
        </is>
      </c>
      <c r="C10" s="7" t="inlineStr">
        <is>
          <t>2026-09-22</t>
        </is>
      </c>
      <c r="D10" s="7" t="inlineStr">
        <is>
          <t>Ben Armstrong</t>
        </is>
      </c>
      <c r="E10" s="7" t="inlineStr">
        <is>
          <t>CEO</t>
        </is>
      </c>
      <c r="F10" s="7" t="inlineStr">
        <is>
          <t>Cytix</t>
        </is>
      </c>
      <c r="G10" s="7" t="inlineStr">
        <is>
          <t>UK</t>
        </is>
      </c>
      <c r="H10" s="7" t="inlineStr"/>
      <c r="I10" s="8" t="inlineStr">
        <is>
          <t>https://www.linkedin.com/in/benarmstrong2</t>
        </is>
      </c>
      <c r="J10" s="9" t="inlineStr">
        <is>
          <t>Yes</t>
        </is>
      </c>
      <c r="K10" s="7" t="inlineStr">
        <is>
          <t>$7M (£5M) Series A led by Northern Gritstone, Aug 2026. He speaks at the Cyber Leaders' Summit.</t>
        </is>
      </c>
      <c r="L10" s="7" t="inlineStr">
        <is>
          <t>2026-08</t>
        </is>
      </c>
      <c r="M10" s="7" t="inlineStr"/>
      <c r="N10" s="7" t="inlineStr">
        <is>
          <t>Went quiet</t>
        </is>
      </c>
      <c r="O10" s="7" t="inlineStr">
        <is>
          <t>2024-09</t>
        </is>
      </c>
      <c r="P10" s="7" t="inlineStr">
        <is>
          <t>went quiet. He used to post with personality in 2022 and 2023 ("We did it again!" with 29 comments, a post on why consultancies struggle with day rates, video content). Last indexed own post Sep 2024. The Series A was posted by Soapbox VC, not by him.</t>
        </is>
      </c>
      <c r="Q10" s="7" t="n">
        <v>50</v>
      </c>
      <c r="R10" s="7">
        <f>IF(Q10&gt;=60,"Priority",IF(Q10&gt;=40,"Warm","Nurture"))</f>
        <v/>
      </c>
      <c r="S10" s="7" t="inlineStr">
        <is>
          <t>bring back what worked, a candid take on security testing, on a steady cadence.</t>
        </is>
      </c>
      <c r="T10" s="7" t="inlineStr">
        <is>
          <t>Hi Ben, congrats on the Series A.
Came across your post on why consultancies struggle to drop the day rate. Still a live problem.
Would be good to connect.</t>
        </is>
      </c>
      <c r="U10" s="7" t="inlineStr">
        <is>
          <t>Thanks for connecting, Ben.
You used to post a fair bit, then it went quiet. Totally normal while building.
Is getting back to it on the list now the round's done?</t>
        </is>
      </c>
      <c r="V10" s="7" t="inlineStr">
        <is>
          <t>a 2-year gap, the Series A story told by others, and a content line on AI-driven software change risk.</t>
        </is>
      </c>
      <c r="W10" s="7" t="inlineStr">
        <is>
          <t>UK, and North of England. Keep it low-key and skip the hype words.</t>
        </is>
      </c>
      <c r="X10" s="9" t="inlineStr"/>
      <c r="Y10" s="7" t="inlineStr">
        <is>
          <t>Back to posting?</t>
        </is>
      </c>
      <c r="Z10" s="7" t="inlineStr">
        <is>
          <t>Hi Ben,
Congrats on the Series A.
You used to post regularly on LinkedIn, then it went quiet around 2024. The round was announced by others, not you.
Enterprise security buyers respond to founders they recognise. We help founders get back to a steady rhythm without writing every post themselves.
Worth 15 minutes next week to talk it through?
Prabal
Gliped | LinkedIn personal branding for founders
Not relevant? Reply "no" and I won't follow up.</t>
        </is>
      </c>
      <c r="AA10" s="7" t="inlineStr">
        <is>
          <t>Not found</t>
        </is>
      </c>
      <c r="AB10" s="7" t="inlineStr"/>
    </row>
    <row r="11" ht="96" customHeight="1">
      <c r="A11" s="7" t="inlineStr">
        <is>
          <t>G010</t>
        </is>
      </c>
      <c r="B11" s="7" t="inlineStr">
        <is>
          <t>01</t>
        </is>
      </c>
      <c r="C11" s="7" t="inlineStr">
        <is>
          <t>2026-09-22</t>
        </is>
      </c>
      <c r="D11" s="7" t="inlineStr">
        <is>
          <t>Theo Saville</t>
        </is>
      </c>
      <c r="E11" s="7" t="inlineStr">
        <is>
          <t>Co-founder &amp; CEO</t>
        </is>
      </c>
      <c r="F11" s="7" t="inlineStr">
        <is>
          <t>CloudNC</t>
        </is>
      </c>
      <c r="G11" s="7" t="inlineStr">
        <is>
          <t>UK</t>
        </is>
      </c>
      <c r="H11" s="7" t="inlineStr"/>
      <c r="I11" s="8" t="inlineStr">
        <is>
          <t>https://www.linkedin.com/in/theosaville</t>
        </is>
      </c>
      <c r="J11" s="9" t="inlineStr">
        <is>
          <t>Yes</t>
        </is>
      </c>
      <c r="K11" s="7" t="inlineStr">
        <is>
          <t>€17.2M to scale AI-powered precision machining, Sep 2026.</t>
        </is>
      </c>
      <c r="L11" s="7" t="inlineStr">
        <is>
          <t>2026-09</t>
        </is>
      </c>
      <c r="M11" s="7" t="inlineStr"/>
      <c r="N11" s="7" t="inlineStr">
        <is>
          <t>Went quiet</t>
        </is>
      </c>
      <c r="O11" s="7" t="inlineStr">
        <is>
          <t>2024-02</t>
        </is>
      </c>
      <c r="P11" s="7" t="inlineStr">
        <is>
          <t>went quiet after a strong run. 2023 was good: a "story of CloudNC" series, "Stealth mode: is it worth it?", CAM Assist at EMO, and a post from the CNC community on Reddit (Feb 2024). The company page now carries it (a drone tour of the factory, podcast clips).</t>
        </is>
      </c>
      <c r="Q11" s="7" t="n">
        <v>50</v>
      </c>
      <c r="R11" s="7">
        <f>IF(Q11&gt;=60,"Priority",IF(Q11&gt;=40,"Warm","Nurture"))</f>
        <v/>
      </c>
      <c r="S11" s="7" t="inlineStr">
        <is>
          <t>restart the founder series. Machinists, manufacturers and investors all respond to him directly.</t>
        </is>
      </c>
      <c r="T11" s="7" t="inlineStr">
        <is>
          <t>Hi Theo, congrats on the new round.
Went back through your "story of CloudNC" posts from 2023. [one line on the part that stuck]
Would be good to connect.</t>
        </is>
      </c>
      <c r="U11" s="7" t="inlineStr">
        <is>
          <t>Thanks for connecting, Theo.
Honest question. Those 2023 posts clearly worked, then the feed went to the company page.
Was that a deliberate call or just time?</t>
        </is>
      </c>
      <c r="V11" s="7" t="inlineStr">
        <is>
          <t>a 2.5-year gap on his own feed, the company page doing work his voice did better, and a restart plan (the factory, machinists, the Reddit community).</t>
        </is>
      </c>
      <c r="W11" s="7" t="inlineStr">
        <is>
          <t>UK. Direct and specific. He'll spot generic copy immediately. Check for in-house marketing</t>
        </is>
      </c>
      <c r="X11" s="9" t="inlineStr">
        <is>
          <t>theo.saville@cloudnc.com</t>
        </is>
      </c>
      <c r="Y11" s="7" t="inlineStr">
        <is>
          <t>The CloudNC story, restarted</t>
        </is>
      </c>
      <c r="Z11" s="7" t="inlineStr">
        <is>
          <t>Hi Theo,
Congrats on the new round.
In 2023 you told the CloudNC story yourself on LinkedIn. Since early 2024 the storytelling has moved to the company page.
Machinists and manufacturers follow you, not the logo. We help founders restart and keep that rhythm, with you in control of the voice.
Open to a 15-minute call to see what a restart could look like?
Prabal
Gliped | LinkedIn personal branding for founders
Not relevant? Reply "no" and I won't follow up.</t>
        </is>
      </c>
      <c r="AA11" s="7" t="inlineStr">
        <is>
          <t>Verified</t>
        </is>
      </c>
      <c r="AB11" s="7" t="inlineStr">
        <is>
          <t>Prospeo BOUNCEBAN</t>
        </is>
      </c>
    </row>
    <row r="12" ht="96" customHeight="1">
      <c r="A12" s="7" t="inlineStr">
        <is>
          <t>G011</t>
        </is>
      </c>
      <c r="B12" s="7" t="inlineStr">
        <is>
          <t>01</t>
        </is>
      </c>
      <c r="C12" s="7" t="inlineStr">
        <is>
          <t>2026-09-22</t>
        </is>
      </c>
      <c r="D12" s="7" t="inlineStr">
        <is>
          <t>Adrian Murray</t>
        </is>
      </c>
      <c r="E12" s="7" t="inlineStr">
        <is>
          <t>Founder &amp; CEO</t>
        </is>
      </c>
      <c r="F12" s="7" t="inlineStr">
        <is>
          <t>Fisent Technologies</t>
        </is>
      </c>
      <c r="G12" s="7" t="inlineStr">
        <is>
          <t>Canada</t>
        </is>
      </c>
      <c r="H12" s="7" t="inlineStr"/>
      <c r="I12" s="8" t="inlineStr">
        <is>
          <t>https://www.linkedin.com/in/adrianmurrray</t>
        </is>
      </c>
      <c r="J12" s="9" t="inlineStr">
        <is>
          <t>Yes</t>
        </is>
      </c>
      <c r="K12" s="7" t="inlineStr">
        <is>
          <t>$4.3M raise, Aug to Sep 2026. Toronto, GenAI process automation ("BizAI").</t>
        </is>
      </c>
      <c r="L12" s="7" t="inlineStr">
        <is>
          <t>2026-08</t>
        </is>
      </c>
      <c r="M12" s="7" t="inlineStr"/>
      <c r="N12" s="7" t="inlineStr">
        <is>
          <t>Milestone-only</t>
        </is>
      </c>
      <c r="O12" s="7" t="inlineStr">
        <is>
          <t>2025-06</t>
        </is>
      </c>
      <c r="P12" s="7" t="inlineStr">
        <is>
          <t>milestone-only. Company announcements from 2024 to 2025 ("growing fast", "successfully completes"), and others interviewing him (Pulse 2.0 in 2025, LaunchPad in May 2026). Last indexed own post Jun 2025.</t>
        </is>
      </c>
      <c r="Q12" s="7" t="n">
        <v>50</v>
      </c>
      <c r="R12" s="7">
        <f>IF(Q12&gt;=60,"Priority",IF(Q12&gt;=40,"Warm","Nurture"))</f>
        <v/>
      </c>
      <c r="S12" s="7" t="inlineStr">
        <is>
          <t>turn the interview material into his own weekly posts for enterprise ops and finance buyers.</t>
        </is>
      </c>
      <c r="T12" s="7" t="inlineStr">
        <is>
          <t>Hi Adrian, congrats on the raise.
The outcomes-as-a-service framing for GenAI automation is a sharp one.
Would be good to connect.</t>
        </is>
      </c>
      <c r="U12" s="7" t="inlineStr">
        <is>
          <t>Thanks for connecting, Adrian.
Other people keep telling Fisent's story in interviews. Your own feed doesn't yet.
Is that something you'd want to change this year?</t>
        </is>
      </c>
      <c r="V12" s="7" t="inlineStr">
        <is>
          <t>interviews not reused as posts, a headline without the buyer outcome, and the gap since Jun 2025.</t>
        </is>
      </c>
      <c r="W12" s="7" t="inlineStr">
        <is>
          <t>Canada, Toronto. Polite and practical.</t>
        </is>
      </c>
      <c r="X12" s="9" t="inlineStr"/>
      <c r="Y12" s="7" t="inlineStr">
        <is>
          <t>Fisent's story, your voice</t>
        </is>
      </c>
      <c r="Z12" s="7" t="inlineStr">
        <is>
          <t>Hi Adrian,
Congrats on the raise.
Other people keep telling Fisent's story in interviews, but your own LinkedIn has been quiet since mid-2025. Outcomes-as-a-service is a strong idea to own in public.
We turn founders' thinking into a steady LinkedIn presence for enterprise buyers.
Worth a 15-minute call to see how?
Prabal
Gliped | LinkedIn personal branding for founders
Not relevant? Reply "no" and I won't follow up.</t>
        </is>
      </c>
      <c r="AA12" s="7" t="inlineStr">
        <is>
          <t>Not found</t>
        </is>
      </c>
      <c r="AB12" s="7" t="inlineStr"/>
    </row>
    <row r="13" ht="96" customHeight="1">
      <c r="A13" s="7" t="inlineStr">
        <is>
          <t>G012</t>
        </is>
      </c>
      <c r="B13" s="7" t="inlineStr">
        <is>
          <t>01</t>
        </is>
      </c>
      <c r="C13" s="7" t="inlineStr">
        <is>
          <t>2026-09-22</t>
        </is>
      </c>
      <c r="D13" s="7" t="inlineStr">
        <is>
          <t>Raghav Midha</t>
        </is>
      </c>
      <c r="E13" s="7" t="inlineStr">
        <is>
          <t>Co-founder &amp; CEO</t>
        </is>
      </c>
      <c r="F13" s="7" t="inlineStr">
        <is>
          <t>Terminal</t>
        </is>
      </c>
      <c r="G13" s="7" t="inlineStr">
        <is>
          <t>Canada</t>
        </is>
      </c>
      <c r="H13" s="7" t="inlineStr"/>
      <c r="I13" s="8" t="inlineStr">
        <is>
          <t>https://www.linkedin.com/in/raghavmidha</t>
        </is>
      </c>
      <c r="J13" s="9" t="inlineStr">
        <is>
          <t>Yes</t>
        </is>
      </c>
      <c r="K13" s="7" t="inlineStr">
        <is>
          <t>$20M Series A, Jul 2026. YC S23, a telematics data API for trucking.</t>
        </is>
      </c>
      <c r="L13" s="7" t="inlineStr">
        <is>
          <t>2026-07</t>
        </is>
      </c>
      <c r="M13" s="7" t="inlineStr"/>
      <c r="N13" s="7" t="inlineStr">
        <is>
          <t>Company-news voice</t>
        </is>
      </c>
      <c r="O13" s="7" t="inlineStr">
        <is>
          <t>2025-10</t>
        </is>
      </c>
      <c r="P13" s="7" t="inlineStr">
        <is>
          <t>company-news voice. Indexed posts are hiring and job posts (Chief of Staff Jul 2024, jobs Mar 2025, engineers Oct 2025).</t>
        </is>
      </c>
      <c r="Q13" s="7" t="n">
        <v>50</v>
      </c>
      <c r="R13" s="7">
        <f>IF(Q13&gt;=60,"Priority",IF(Q13&gt;=40,"Warm","Nurture"))</f>
        <v/>
      </c>
      <c r="S13" s="7" t="inlineStr">
        <is>
          <t>a founder brand as a recruiting engine, plus credibility with fleet and logistics buyers.</t>
        </is>
      </c>
      <c r="T13" s="7" t="inlineStr">
        <is>
          <t>Hi Raghav, congrats on the Series A.
Telematics integration is unglamorous and really important. Following Terminal.
Would be good to connect.</t>
        </is>
      </c>
      <c r="U13" s="7" t="inlineStr">
        <is>
          <t>Thanks for connecting, Raghav.
I noticed your posts are mostly hiring. Makes sense.
Have you tried writing about the problem itself? It tends to pull better engineers than job posts do.</t>
        </is>
      </c>
      <c r="V13" s="7" t="inlineStr">
        <is>
          <t>job posts only, no view of his own on trucking data, and a technical-founder content line for recruiting.</t>
        </is>
      </c>
      <c r="W13" s="7" t="inlineStr">
        <is>
          <t>Canada, Toronto, with a US and YC audience. Short and direct.</t>
        </is>
      </c>
      <c r="X13" s="9" t="inlineStr">
        <is>
          <t>raghav@withterminal.com</t>
        </is>
      </c>
      <c r="Y13" s="7" t="inlineStr">
        <is>
          <t>Hiring after the Series A</t>
        </is>
      </c>
      <c r="Z13" s="7" t="inlineStr">
        <is>
          <t>Hi Raghav,
Congrats on the $20M Series A.
Your LinkedIn is mostly job posts right now. Strong engineers pick founders whose thinking they've already seen.
We help technical founders write about the problem they're solving, so hiring and fleet buyers come to them.
Open to 15 minutes to talk it through?
Prabal
Gliped | LinkedIn personal branding for founders
Not relevant? Reply "no" and I won't follow up.</t>
        </is>
      </c>
      <c r="AA13" s="7" t="inlineStr">
        <is>
          <t>Verified</t>
        </is>
      </c>
      <c r="AB13" s="7" t="inlineStr">
        <is>
          <t>Prospeo SMTP</t>
        </is>
      </c>
    </row>
    <row r="14" ht="96" customHeight="1">
      <c r="A14" s="7" t="inlineStr">
        <is>
          <t>G013</t>
        </is>
      </c>
      <c r="B14" s="7" t="inlineStr">
        <is>
          <t>01</t>
        </is>
      </c>
      <c r="C14" s="7" t="inlineStr">
        <is>
          <t>2026-09-22</t>
        </is>
      </c>
      <c r="D14" s="7" t="inlineStr">
        <is>
          <t>Doug Schweitzer</t>
        </is>
      </c>
      <c r="E14" s="7" t="inlineStr">
        <is>
          <t>CEO &amp; co-founder</t>
        </is>
      </c>
      <c r="F14" s="7" t="inlineStr">
        <is>
          <t>Ultimarii</t>
        </is>
      </c>
      <c r="G14" s="7" t="inlineStr">
        <is>
          <t>Canada</t>
        </is>
      </c>
      <c r="H14" s="7" t="inlineStr"/>
      <c r="I14" s="8" t="inlineStr">
        <is>
          <t>https://www.linkedin.com/in/doug-schweitzer-573a443b</t>
        </is>
      </c>
      <c r="J14" s="9" t="inlineStr">
        <is>
          <t>Yes</t>
        </is>
      </c>
      <c r="K14" s="7" t="inlineStr">
        <is>
          <t>Series A of more than $13M CAD led by BDC's Industrial Innovation Venture Fund, Sep 2026. Calgary, regulatory AI for infrastructure approvals. He's a former Alberta innovation minister and co-founded Blue Rock Law.</t>
        </is>
      </c>
      <c r="L14" s="7" t="inlineStr">
        <is>
          <t>2026-09</t>
        </is>
      </c>
      <c r="M14" s="7" t="inlineStr"/>
      <c r="N14" s="7" t="inlineStr">
        <is>
          <t>Went quiet</t>
        </is>
      </c>
      <c r="O14" s="7" t="inlineStr">
        <is>
          <t>2024-01</t>
        </is>
      </c>
      <c r="P14" s="7" t="inlineStr">
        <is>
          <t>went quiet. From 2022 to 2024 he mostly shared news links about the Alberta economy (IBM Calgary with 42 comments, oil and gas labour with 39 comments). Last indexed Jan 2024. The Ultimarii page carries the company voice now.</t>
        </is>
      </c>
      <c r="Q14" s="7" t="n">
        <v>50</v>
      </c>
      <c r="R14" s="7">
        <f>IF(Q14&gt;=60,"Priority",IF(Q14&gt;=40,"Warm","Nurture"))</f>
        <v/>
      </c>
      <c r="S14" s="7" t="inlineStr">
        <is>
          <t>move from minister and lawyer to AI infrastructure founder. The audience is energy and infrastructure executives and regulators.</t>
        </is>
      </c>
      <c r="T14" s="7" t="inlineStr">
        <is>
          <t>Hi Doug, congrats on the Ultimarii Series A.
Speeding up infrastructure approvals is one of the more practical uses of AI I've seen.
Would be good to connect.</t>
        </is>
      </c>
      <c r="U14" s="7" t="inlineStr">
        <is>
          <t>Thanks for connecting, Doug.
People know you from your years in government. Fewer know you as a founder yet.
Is shifting that part of the plan for this year?</t>
        </is>
      </c>
      <c r="V14" s="7" t="inlineStr">
        <is>
          <t>posts are shared articles rather than his own view, the positioning is still political and legal, and a founder narrative on approvals and energy projects.</t>
        </is>
      </c>
      <c r="W14" s="7" t="inlineStr">
        <is>
          <t>Canada, Alberta. Respectful. He likely has advisers, so expect a gatekeeper. Former Alberta minister</t>
        </is>
      </c>
      <c r="X14" s="9" t="inlineStr">
        <is>
          <t>doug.schweitzer@ultimarii.com</t>
        </is>
      </c>
      <c r="Y14" s="7" t="inlineStr">
        <is>
          <t>From minister to founder</t>
        </is>
      </c>
      <c r="Z14" s="7" t="inlineStr">
        <is>
          <t>Hi Doug,
Congrats on Ultimarii's Series A.
People know you from your years in government. Fewer know you yet as the founder speeding up infrastructure approvals with AI, and your LinkedIn still reads like the old role.
We help founders reposition on LinkedIn with a steady voice aimed at energy and infrastructure leaders.
Worth a 15-minute call?
Prabal
Gliped | LinkedIn personal branding for founders
Not relevant? Reply "no" and I won't follow up.</t>
        </is>
      </c>
      <c r="AA14" s="7" t="inlineStr">
        <is>
          <t>Verified</t>
        </is>
      </c>
      <c r="AB14" s="7" t="inlineStr">
        <is>
          <t>Prospeo BOUNCEBAN</t>
        </is>
      </c>
    </row>
    <row r="15" ht="96" customHeight="1">
      <c r="A15" s="7" t="inlineStr">
        <is>
          <t>G014</t>
        </is>
      </c>
      <c r="B15" s="7" t="inlineStr">
        <is>
          <t>01</t>
        </is>
      </c>
      <c r="C15" s="7" t="inlineStr">
        <is>
          <t>2026-09-22</t>
        </is>
      </c>
      <c r="D15" s="7" t="inlineStr">
        <is>
          <t>Gabriel Rivest</t>
        </is>
      </c>
      <c r="E15" s="7" t="inlineStr">
        <is>
          <t>CEO &amp; co-founder</t>
        </is>
      </c>
      <c r="F15" s="7" t="inlineStr">
        <is>
          <t>Scopia Surgical</t>
        </is>
      </c>
      <c r="G15" s="7" t="inlineStr">
        <is>
          <t>Canada</t>
        </is>
      </c>
      <c r="H15" s="7" t="inlineStr"/>
      <c r="I15" s="8" t="inlineStr">
        <is>
          <t>https://www.linkedin.com/in/gabriel-rivest-11a019b4</t>
        </is>
      </c>
      <c r="J15" s="9" t="inlineStr">
        <is>
          <t>Yes</t>
        </is>
      </c>
      <c r="K15" s="7" t="inlineStr">
        <is>
          <t>$2.65M CAD pre-seed co-led by Linearis Ventures and Anges Québec, Sep 2026. Montreal, AI surgical navigation.</t>
        </is>
      </c>
      <c r="L15" s="7" t="inlineStr">
        <is>
          <t>2026-09</t>
        </is>
      </c>
      <c r="M15" s="7" t="inlineStr"/>
      <c r="N15" s="7" t="inlineStr">
        <is>
          <t>Milestone-only</t>
        </is>
      </c>
      <c r="O15" s="7" t="inlineStr">
        <is>
          <t>2026-09-04</t>
        </is>
      </c>
      <c r="P15" s="7" t="inlineStr">
        <is>
          <t>milestone-only, but active right now. A vision post (Feb 2025) and the funding post (4 Sep 2026). This is the only lead confirmed active in the last 30 days.</t>
        </is>
      </c>
      <c r="Q15" s="7" t="n">
        <v>50</v>
      </c>
      <c r="R15" s="7">
        <f>IF(Q15&gt;=60,"Priority",IF(Q15&gt;=40,"Warm","Nurture"))</f>
        <v/>
      </c>
      <c r="S15" s="7" t="inlineStr">
        <is>
          <t>building credibility with clinicians and partners ahead of trials, with bilingual content.</t>
        </is>
      </c>
      <c r="T15" s="7" t="inlineStr">
        <is>
          <t>Hi Gabriel, congrats on closing the pre-seed.
Real-time navigation for robotic surgery is a big bet. Following Scopia.
Would be good to connect.</t>
        </is>
      </c>
      <c r="U15" s="7" t="inlineStr">
        <is>
          <t>Thanks for connecting, Gabriel.
In medtech, surgeons and partners tend to check the founder before the product.
Is building that voice something you're planning, in French, English or both?</t>
        </is>
      </c>
      <c r="V15" s="7" t="inlineStr">
        <is>
          <t>posts only at milestones, the profile language (FR vs EN), and a clinician-facing content line.</t>
        </is>
      </c>
      <c r="W15" s="7" t="inlineStr">
        <is>
          <t>Quebec. Offer French. Polite and practical. Active last 30 days; offer French</t>
        </is>
      </c>
      <c r="X15" s="9" t="inlineStr">
        <is>
          <t>gabriel@scopia.tech</t>
        </is>
      </c>
      <c r="Y15" s="7" t="inlineStr">
        <is>
          <t>Scopia's next chapter</t>
        </is>
      </c>
      <c r="Z15" s="7" t="inlineStr">
        <is>
          <t>Hi Gabriel,
Congrats on closing the pre-seed.
In medtech, surgeons and partners check the founder before the product. Right now you post at milestones only.
We build founder brands on LinkedIn, in English, French or both, aimed at clinicians and partners.
Open to a quick call to see what that could look like for Scopia?
Prabal
Gliped | LinkedIn personal branding for founders
Not relevant? Reply "no" and I won't follow up.</t>
        </is>
      </c>
      <c r="AA15" s="7" t="inlineStr">
        <is>
          <t>Verified</t>
        </is>
      </c>
      <c r="AB15" s="7" t="inlineStr">
        <is>
          <t>Prospeo BOUNCEBAN</t>
        </is>
      </c>
    </row>
    <row r="16" ht="96" customHeight="1">
      <c r="A16" s="7" t="inlineStr">
        <is>
          <t>G015</t>
        </is>
      </c>
      <c r="B16" s="7" t="inlineStr">
        <is>
          <t>01</t>
        </is>
      </c>
      <c r="C16" s="7" t="inlineStr">
        <is>
          <t>2026-09-22</t>
        </is>
      </c>
      <c r="D16" s="7" t="inlineStr">
        <is>
          <t>David Lighton</t>
        </is>
      </c>
      <c r="E16" s="7" t="inlineStr">
        <is>
          <t>Founder &amp; CEO</t>
        </is>
      </c>
      <c r="F16" s="7" t="inlineStr">
        <is>
          <t>Diameter Pay</t>
        </is>
      </c>
      <c r="G16" s="7" t="inlineStr">
        <is>
          <t>US</t>
        </is>
      </c>
      <c r="H16" s="7" t="inlineStr"/>
      <c r="I16" s="8" t="inlineStr">
        <is>
          <t>https://www.linkedin.com/in/david-lighton-b027a917</t>
        </is>
      </c>
      <c r="J16" s="9" t="inlineStr">
        <is>
          <t>Yes</t>
        </is>
      </c>
      <c r="K16" s="7" t="inlineStr">
        <is>
          <t>$10M Series A, Sep 2026. The company was bootstrapped before this round, and processed $300M in payment volume in 2023.</t>
        </is>
      </c>
      <c r="L16" s="7" t="inlineStr">
        <is>
          <t>2026-09</t>
        </is>
      </c>
      <c r="M16" s="7" t="inlineStr"/>
      <c r="N16" s="7" t="inlineStr">
        <is>
          <t>Went quiet</t>
        </is>
      </c>
      <c r="O16" s="7" t="inlineStr">
        <is>
          <t>2023-07</t>
        </is>
      </c>
      <c r="P16" s="7" t="inlineStr">
        <is>
          <t>went quiet. In 2023 he shared finance and policy articles (de-risking China, Citadel buying into Western Alliance, legacy admissions). Nothing indexed since mid-2023.</t>
        </is>
      </c>
      <c r="Q16" s="7" t="n">
        <v>50</v>
      </c>
      <c r="R16" s="7">
        <f>IF(Q16&gt;=60,"Priority",IF(Q16&gt;=40,"Warm","Nurture"))</f>
        <v/>
      </c>
      <c r="S16" s="7" t="inlineStr">
        <is>
          <t>the bootstrapped-to-Series A story, and a credible voice on stablecoin infrastructure.</t>
        </is>
      </c>
      <c r="T16" s="7" t="inlineStr">
        <is>
          <t>Hi David, congrats on the Series A.
Bootstrapping to that point in payments is rare. Following Diameter.
Would be good to connect.</t>
        </is>
      </c>
      <c r="U16" s="7" t="inlineStr">
        <is>
          <t>Thanks for connecting, David.
You used to share sharp finance and policy reads. Then it went quiet.
Is getting your own view out there part of the plan now that the round is done?</t>
        </is>
      </c>
      <c r="V16" s="7" t="inlineStr">
        <is>
          <t>link shares with no commentary, a 3-year gap, and a content line on stablecoin payments for banks.</t>
        </is>
      </c>
      <c r="W16" s="7" t="inlineStr">
        <is>
          <t>confirm his location (assumed US). Direct and numbers-first. Confirm location</t>
        </is>
      </c>
      <c r="X16" s="9" t="inlineStr"/>
      <c r="Y16" s="7" t="inlineStr">
        <is>
          <t>Bootstrapped to Series A</t>
        </is>
      </c>
      <c r="Z16" s="7" t="inlineStr">
        <is>
          <t>Hi David,
Congrats on the Series A. Bootstrapping to that point in payments is rare.
That's a story banks and platforms want to hear, but your LinkedIn has been quiet since 2023.
We help founders turn their thinking into a steady LinkedIn presence, aimed at the partners they need.
Worth 15 minutes to talk it through?
Prabal
Gliped | LinkedIn personal branding for founders
Not relevant? Reply "no" and I won't follow up.</t>
        </is>
      </c>
      <c r="AA16" s="7" t="inlineStr">
        <is>
          <t>Not found</t>
        </is>
      </c>
      <c r="AB16" s="7" t="inlineStr"/>
    </row>
    <row r="17" ht="96" customHeight="1">
      <c r="A17" s="7" t="inlineStr">
        <is>
          <t>G016</t>
        </is>
      </c>
      <c r="B17" s="7" t="inlineStr">
        <is>
          <t>01</t>
        </is>
      </c>
      <c r="C17" s="7" t="inlineStr">
        <is>
          <t>2026-09-22</t>
        </is>
      </c>
      <c r="D17" s="7" t="inlineStr">
        <is>
          <t>Leo Crowe</t>
        </is>
      </c>
      <c r="E17" s="7" t="inlineStr">
        <is>
          <t>Co-founder &amp; CEO</t>
        </is>
      </c>
      <c r="F17" s="7" t="inlineStr">
        <is>
          <t>Souk</t>
        </is>
      </c>
      <c r="G17" s="7" t="inlineStr">
        <is>
          <t>UK</t>
        </is>
      </c>
      <c r="H17" s="7" t="inlineStr"/>
      <c r="I17" s="8" t="inlineStr">
        <is>
          <t>https://www.linkedin.com/in/leo-crowe-457815121</t>
        </is>
      </c>
      <c r="J17" s="9" t="inlineStr">
        <is>
          <t>Yes</t>
        </is>
      </c>
      <c r="K17" s="7" t="inlineStr">
        <is>
          <t>$1.6M pre-seed led by Sure Valley Ventures, with Antler and Fuel Ventures, Sep 2026. London, "Coco", an AI partner manager.</t>
        </is>
      </c>
      <c r="L17" s="7" t="inlineStr">
        <is>
          <t>2026-09</t>
        </is>
      </c>
      <c r="M17" s="7" t="inlineStr"/>
      <c r="N17" s="7" t="inlineStr">
        <is>
          <t>Emerging writer</t>
        </is>
      </c>
      <c r="O17" s="7" t="inlineStr">
        <is>
          <t>2026-04</t>
        </is>
      </c>
      <c r="P17" s="7" t="inlineStr">
        <is>
          <t>emerging writer. Original takes about every 3 months: the Souk launch (Aug 2025), "one consistent problem across every..." (Jan 2026), "I told Souk our own ICP..." (Apr 2026).</t>
        </is>
      </c>
      <c r="Q17" s="7" t="n">
        <v>40</v>
      </c>
      <c r="R17" s="7">
        <f>IF(Q17&gt;=60,"Priority",IF(Q17&gt;=40,"Warm","Nurture"))</f>
        <v/>
      </c>
      <c r="S17" s="7" t="inlineStr">
        <is>
          <t>from quarterly to weekly, without it eating his week.</t>
        </is>
      </c>
      <c r="T17" s="7" t="inlineStr">
        <is>
          <t>Hi Leo, congrats on the pre-seed.
Saw your post on running Souk against its own ICP. [one line on the takeaway]
Would be good to connect.</t>
        </is>
      </c>
      <c r="U17" s="7" t="inlineStr">
        <is>
          <t>Thanks for connecting, Leo.
Your partnership posts are good, they just come every few months.
Is weekly something you'd do if it only took 30 minutes of your time?</t>
        </is>
      </c>
      <c r="V17" s="7" t="inlineStr">
        <is>
          <t>cadence, no featured link to Coco, and one recurring format (the partner-activation playbook).</t>
        </is>
      </c>
      <c r="W17" s="7" t="inlineStr">
        <is>
          <t>UK. Pre-seed budget, so offer a lighter plan or pilot. Pre-seed budget</t>
        </is>
      </c>
      <c r="X17" s="9" t="inlineStr"/>
      <c r="Y17" s="7" t="inlineStr">
        <is>
          <t>Weekly, not quarterly</t>
        </is>
      </c>
      <c r="Z17" s="7" t="inlineStr">
        <is>
          <t>Hi Leo,
Congrats on the pre-seed.
You already write about partnerships on LinkedIn, and your buyers live there. The gap is rhythm: a post every few months instead of every week.
We help founders keep a weekly cadence in their own voice without it eating their week.
Open to a quick call?
Prabal
Gliped | LinkedIn personal branding for founders
Not relevant? Reply "no" and I won't follow up.</t>
        </is>
      </c>
      <c r="AA17" s="7" t="inlineStr">
        <is>
          <t>Not found</t>
        </is>
      </c>
      <c r="AB17" s="7" t="inlineStr"/>
    </row>
    <row r="18" ht="96" customHeight="1">
      <c r="A18" s="7" t="inlineStr">
        <is>
          <t>G017</t>
        </is>
      </c>
      <c r="B18" s="7" t="inlineStr">
        <is>
          <t>01</t>
        </is>
      </c>
      <c r="C18" s="7" t="inlineStr">
        <is>
          <t>2026-09-22</t>
        </is>
      </c>
      <c r="D18" s="7" t="inlineStr">
        <is>
          <t>Alex Harland</t>
        </is>
      </c>
      <c r="E18" s="7" t="inlineStr">
        <is>
          <t>Co-founder &amp; CEO</t>
        </is>
      </c>
      <c r="F18" s="7" t="inlineStr">
        <is>
          <t>AI Score</t>
        </is>
      </c>
      <c r="G18" s="7" t="inlineStr">
        <is>
          <t>UK</t>
        </is>
      </c>
      <c r="H18" s="7" t="inlineStr"/>
      <c r="I18" s="8" t="inlineStr">
        <is>
          <t>https://www.linkedin.com/in/alex-harland-a110b0149</t>
        </is>
      </c>
      <c r="J18" s="9" t="inlineStr">
        <is>
          <t>Yes</t>
        </is>
      </c>
      <c r="K18" s="7" t="inlineStr">
        <is>
          <t>€4.6M raise, Sep 2026. London, keeping AI agents under control. He was on the founding team at the UK's NCSC; co-founder Benita Tibb is a former City lawyer.</t>
        </is>
      </c>
      <c r="L18" s="7" t="inlineStr">
        <is>
          <t>2026-09</t>
        </is>
      </c>
      <c r="M18" s="7" t="inlineStr"/>
      <c r="N18" s="7" t="inlineStr">
        <is>
          <t>Emerging writer</t>
        </is>
      </c>
      <c r="O18" s="7" t="inlineStr">
        <is>
          <t>2026-02</t>
        </is>
      </c>
      <c r="P18" s="7" t="inlineStr">
        <is>
          <t>emerging writer. Technical opinion posts about every 6 months: OPA/Rego (Aug 2025), "AI governance does not belong in .pdf" (Feb 2026).</t>
        </is>
      </c>
      <c r="Q18" s="7" t="n">
        <v>40</v>
      </c>
      <c r="R18" s="7">
        <f>IF(Q18&gt;=60,"Priority",IF(Q18&gt;=40,"Warm","Nurture"))</f>
        <v/>
      </c>
      <c r="S18" s="7" t="inlineStr">
        <is>
          <t>category-creation thought leadership.</t>
        </is>
      </c>
      <c r="T18" s="7" t="inlineStr">
        <is>
          <t>Hi Alex, congrats on the round.
"AI governance does not belong in a PDF" is a line more people need to hear.
Would be good to connect.</t>
        </is>
      </c>
      <c r="U18" s="7" t="inlineStr">
        <is>
          <t>Thanks for connecting, Alex.
You've got a clear point of view on AI governance. It shows up about twice a year.
Is building that into a regular voice on the list for AI Score?</t>
        </is>
      </c>
      <c r="V18" s="7" t="inlineStr">
        <is>
          <t>cadence, NCSC credibility not front and centre, and a split between technical and board-level posts.</t>
        </is>
      </c>
      <c r="W18" s="7" t="inlineStr">
        <is>
          <t>UK. Precise and low-hype. Expect security-minded scepticism.</t>
        </is>
      </c>
      <c r="X18" s="9" t="inlineStr"/>
      <c r="Y18" s="7" t="inlineStr">
        <is>
          <t>AI governance, out loud</t>
        </is>
      </c>
      <c r="Z18" s="7" t="inlineStr">
        <is>
          <t>Hi Alex,
Congrats on the round.
You have a clear point of view on AI governance, and CISOs and GCs need to hear it more than twice a year.
We help founders turn that point of view into a steady LinkedIn presence that builds the category with them in it.
Worth a 15-minute call next week?
Prabal
Gliped | LinkedIn personal branding for founders
Not relevant? Reply "no" and I won't follow up.</t>
        </is>
      </c>
      <c r="AA18" s="7" t="inlineStr">
        <is>
          <t>Not found</t>
        </is>
      </c>
      <c r="AB18" s="7" t="inlineStr"/>
    </row>
    <row r="19" ht="96" customHeight="1">
      <c r="A19" s="7" t="inlineStr">
        <is>
          <t>G018</t>
        </is>
      </c>
      <c r="B19" s="7" t="inlineStr">
        <is>
          <t>01</t>
        </is>
      </c>
      <c r="C19" s="7" t="inlineStr">
        <is>
          <t>2026-09-22</t>
        </is>
      </c>
      <c r="D19" s="7" t="inlineStr">
        <is>
          <t>Shishir Bankapur</t>
        </is>
      </c>
      <c r="E19" s="7" t="inlineStr">
        <is>
          <t>CEO</t>
        </is>
      </c>
      <c r="F19" s="7" t="inlineStr">
        <is>
          <t>Helogen</t>
        </is>
      </c>
      <c r="G19" s="7" t="inlineStr">
        <is>
          <t>US</t>
        </is>
      </c>
      <c r="H19" s="7" t="inlineStr"/>
      <c r="I19" s="8" t="inlineStr">
        <is>
          <t>https://www.linkedin.com/in/shishir-work</t>
        </is>
      </c>
      <c r="J19" s="9" t="inlineStr">
        <is>
          <t>Yes</t>
        </is>
      </c>
      <c r="K19" s="7" t="inlineStr">
        <is>
          <t>$7.1M seed co-led by RRE Ventures and Oceans, Sep 2026. NYC, space biotech and in-orbit manufacturing.</t>
        </is>
      </c>
      <c r="L19" s="7" t="inlineStr">
        <is>
          <t>2026-09</t>
        </is>
      </c>
      <c r="M19" s="7" t="inlineStr"/>
      <c r="N19" s="7" t="inlineStr">
        <is>
          <t>Emerging writer</t>
        </is>
      </c>
      <c r="O19" s="7" t="inlineStr">
        <is>
          <t>2026-06</t>
        </is>
      </c>
      <c r="P19" s="7" t="inlineStr">
        <is>
          <t>emerging writer. Big-idea posts now and then: the AgResearch partnership (Apr 2025) and "The next industrial revolution isn't on earth" (Jun 2026).</t>
        </is>
      </c>
      <c r="Q19" s="7" t="n">
        <v>40</v>
      </c>
      <c r="R19" s="7">
        <f>IF(Q19&gt;=60,"Priority",IF(Q19&gt;=40,"Warm","Nurture"))</f>
        <v/>
      </c>
      <c r="S19" s="7" t="inlineStr">
        <is>
          <t>an explainer-led founder voice.</t>
        </is>
      </c>
      <c r="T19" s="7" t="inlineStr">
        <is>
          <t>Hi Shishir, congrats on the seed.
"The next industrial revolution isn't on earth" is a good way to put it.
Would be good to connect.</t>
        </is>
      </c>
      <c r="U19" s="7" t="inlineStr">
        <is>
          <t>Thanks for connecting, Shishir.
Space biomanufacturing needs a lot of explaining, and you do it well.
Are you planning to make that a regular thing, or keep it to big moments?</t>
        </is>
      </c>
      <c r="V19" s="7" t="inlineStr">
        <is>
          <t>cadence, no plain-English line on what Helogen makes, and an explainer series.</t>
        </is>
      </c>
      <c r="W19" s="7" t="inlineStr">
        <is>
          <t>US East. Direct.</t>
        </is>
      </c>
      <c r="X19" s="9" t="inlineStr">
        <is>
          <t>shishir@helogen.com</t>
        </is>
      </c>
      <c r="Y19" s="7" t="inlineStr">
        <is>
          <t>Explaining Helogen</t>
        </is>
      </c>
      <c r="Z19" s="7" t="inlineStr">
        <is>
          <t>Hi Shishir,
Congrats on the seed.
Space biomanufacturing needs a lot of explaining to investors, talent and early customers. "The next industrial revolution isn't on earth" is a good frame, and it deserves a regular slot.
We help frontier founders build an explainer-led presence on LinkedIn.
Open to a quick call to see how?
Prabal
Gliped | LinkedIn personal branding for founders
Not relevant? Reply "no" and I won't follow up.</t>
        </is>
      </c>
      <c r="AA19" s="7" t="inlineStr">
        <is>
          <t>Verified</t>
        </is>
      </c>
      <c r="AB19" s="7" t="inlineStr">
        <is>
          <t>Prospeo SMTP Prospeo profile linkedin.com/in/shishir-b-40ba0a126 (Helogen CEO)</t>
        </is>
      </c>
    </row>
    <row r="20" ht="96" customHeight="1">
      <c r="A20" s="7" t="inlineStr">
        <is>
          <t>G019</t>
        </is>
      </c>
      <c r="B20" s="7" t="inlineStr">
        <is>
          <t>01</t>
        </is>
      </c>
      <c r="C20" s="7" t="inlineStr">
        <is>
          <t>2026-09-22</t>
        </is>
      </c>
      <c r="D20" s="7" t="inlineStr">
        <is>
          <t>Shashank ND</t>
        </is>
      </c>
      <c r="E20" s="7" t="inlineStr">
        <is>
          <t>Founder MD &amp; Exec Chairman</t>
        </is>
      </c>
      <c r="F20" s="7" t="inlineStr">
        <is>
          <t>Practo</t>
        </is>
      </c>
      <c r="G20" s="7" t="inlineStr">
        <is>
          <t>India</t>
        </is>
      </c>
      <c r="H20" s="7" t="inlineStr"/>
      <c r="I20" s="8" t="inlineStr">
        <is>
          <t>https://www.linkedin.com/in/shashanknd</t>
        </is>
      </c>
      <c r="J20" s="9" t="inlineStr">
        <is>
          <t>Yes</t>
        </is>
      </c>
      <c r="K20" s="7" t="inlineStr">
        <is>
          <t>moved from CEO to MD and Executive Chairman on 1 Sep 2026. He'll lead capital strategy, inorganic growth and innovation.</t>
        </is>
      </c>
      <c r="L20" s="7" t="inlineStr">
        <is>
          <t>2026-09</t>
        </is>
      </c>
      <c r="M20" s="7" t="inlineStr"/>
      <c r="N20" s="7" t="inlineStr">
        <is>
          <t>Company-news voice</t>
        </is>
      </c>
      <c r="O20" s="7" t="inlineStr">
        <is>
          <t>2026-01</t>
        </is>
      </c>
      <c r="P20" s="7" t="inlineStr">
        <is>
          <t>company-news voice with a big-moment cadence: annual letters (FY24, Jun 2024), market launches (UAE May 2025, US Jan 2026). Media covers him often (the AI transformation piece and the Cent launch, Mar 2026).</t>
        </is>
      </c>
      <c r="Q20" s="7" t="n">
        <v>40</v>
      </c>
      <c r="R20" s="7">
        <f>IF(Q20&gt;=60,"Priority",IF(Q20&gt;=40,"Warm","Nurture"))</f>
        <v/>
      </c>
      <c r="S20" s="7" t="inlineStr">
        <is>
          <t>the chairman narrative. Fewer operations posts, more on long-term bets.</t>
        </is>
      </c>
      <c r="T20" s="7" t="inlineStr">
        <is>
          <t>Hi Shashank, congratulations on the new role at Practo.
The move into the US and UAE has been interesting to follow.
Would be good to connect.</t>
        </is>
      </c>
      <c r="U20" s="7" t="inlineStr">
        <is>
          <t>Thanks for connecting, Shashank.
Moving from CEO to chairman usually changes what people expect to hear from you.
Is that something you're thinking about for LinkedIn?</t>
        </is>
      </c>
      <c r="V20" s="7" t="inlineStr"/>
      <c r="W20" s="7" t="inlineStr">
        <is>
          <t>only after lead 7 has been contacted and at least a week has passed. The likely route is through his comms or CoS. India, senior. Very respectful and short. Wait 1 week after Jagnoor</t>
        </is>
      </c>
      <c r="X20" s="9" t="inlineStr">
        <is>
          <t>shashank@centai.in</t>
        </is>
      </c>
      <c r="Y20" s="7" t="inlineStr">
        <is>
          <t>The chairman's voice</t>
        </is>
      </c>
      <c r="Z20" s="7" t="inlineStr">
        <is>
          <t>Hi Shashank,
Congratulations on the new role at Practo.
Moving from CEO to Executive Chairman changes what people expect to hear from you: capital, AI and the long-term bets, not operations.
We help senior leaders shape that narrative on LinkedIn, with a light touch on their time.
Would a short call be useful, with you or whoever runs your comms?
Prabal
Gliped | LinkedIn personal branding for founders
Not relevant? Reply "no" and I won't follow up.</t>
        </is>
      </c>
      <c r="AA20" s="7" t="inlineStr">
        <is>
          <t>Verified</t>
        </is>
      </c>
      <c r="AB20" s="7" t="inlineStr">
        <is>
          <t>Prospeo SMTP Address is at Cent (his preventive-health company) not Practo</t>
        </is>
      </c>
    </row>
    <row r="21" ht="96" customHeight="1">
      <c r="A21" s="7" t="inlineStr">
        <is>
          <t>G020</t>
        </is>
      </c>
      <c r="B21" s="7" t="inlineStr">
        <is>
          <t>01</t>
        </is>
      </c>
      <c r="C21" s="7" t="inlineStr">
        <is>
          <t>2026-09-22</t>
        </is>
      </c>
      <c r="D21" s="7" t="inlineStr">
        <is>
          <t>Ilan Zerbib</t>
        </is>
      </c>
      <c r="E21" s="7" t="inlineStr">
        <is>
          <t>Founder &amp; CEO</t>
        </is>
      </c>
      <c r="F21" s="7" t="inlineStr">
        <is>
          <t>Sapiom</t>
        </is>
      </c>
      <c r="G21" s="7" t="inlineStr">
        <is>
          <t>US</t>
        </is>
      </c>
      <c r="H21" s="7" t="inlineStr"/>
      <c r="I21" s="8" t="inlineStr">
        <is>
          <t>https://www.linkedin.com/in/izerbib</t>
        </is>
      </c>
      <c r="J21" s="9" t="inlineStr">
        <is>
          <t>Yes</t>
        </is>
      </c>
      <c r="K21" s="7" t="inlineStr">
        <is>
          <t>$15.75M seed with Accel (Feb 2026), then a $35M Series A (Aug 2026). SF, AI agents and agentic payments. He spent nearly 5 years at Shopify.</t>
        </is>
      </c>
      <c r="L21" s="7" t="inlineStr">
        <is>
          <t>2026-08</t>
        </is>
      </c>
      <c r="M21" s="7" t="inlineStr"/>
      <c r="N21" s="7" t="inlineStr">
        <is>
          <t>Already consistent</t>
        </is>
      </c>
      <c r="O21" s="7" t="inlineStr">
        <is>
          <t>2026-08</t>
        </is>
      </c>
      <c r="P21" s="7" t="inlineStr">
        <is>
          <t>already consistent, the most active in the batch. Roughly monthly original posts in 2026: the Shopify chapter (Oct 2025), the seed (Feb), Okta Ventures (Feb), "Building with Sapiom" (Jul), "Eleven months ago I founded Sapiom" (Aug).</t>
        </is>
      </c>
      <c r="Q21" s="7" t="n">
        <v>40</v>
      </c>
      <c r="R21" s="7">
        <f>IF(Q21&gt;=60,"Priority",IF(Q21&gt;=40,"Warm","Nurture"))</f>
        <v/>
      </c>
      <c r="S21" s="7" t="inlineStr">
        <is>
          <t>go from monthly to weekly and turn big posts into series, so a CEO of a fast-growing company gets the hours back.</t>
        </is>
      </c>
      <c r="T21" s="7" t="inlineStr">
        <is>
          <t>Hi Ilan, congrats on the Series A.
Saw your "eleven months ago I founded Sapiom" post. [one line on what stood out]
Would be good to connect.</t>
        </is>
      </c>
      <c r="U21" s="7" t="inlineStr">
        <is>
          <t>Thanks for connecting, Ilan.
You're one of the few founders who actually posts consistently.
Curious, how much of your week does it take right now?</t>
        </is>
      </c>
      <c r="V21" s="7" t="inlineStr">
        <is>
          <t>go from monthly to weekly, reuse the long posts, and his agentic payments point of view for the buyers.</t>
        </is>
      </c>
      <c r="W21" s="7" t="inlineStr">
        <is>
          <t>US West. Numbers-first. He'll judge Gliped on its own profile, so make sure it's current. Pitch time and reach not starting</t>
        </is>
      </c>
      <c r="X21" s="9" t="inlineStr">
        <is>
          <t>ilan@sapiom.ai</t>
        </is>
      </c>
      <c r="Y21" s="7" t="inlineStr">
        <is>
          <t>Your weekly hours back</t>
        </is>
      </c>
      <c r="Z21" s="7" t="inlineStr">
        <is>
          <t>Hi Ilan,
Congrats on the Series A.
You're one of the few founders who posts consistently. That usually costs hours a week that a CEO of a fast-growing company doesn't have.
We keep founders' voice and rhythm while taking the writing and repurposing off their plate.
Worth 15 minutes to see what you'd get back?
Prabal
Gliped | LinkedIn personal branding for founders
Not relevant? Reply "no" and I won't follow up.</t>
        </is>
      </c>
      <c r="AA21" s="7" t="inlineStr">
        <is>
          <t>Verified</t>
        </is>
      </c>
      <c r="AB21" s="7" t="inlineStr">
        <is>
          <t>Prospeo SMTP</t>
        </is>
      </c>
    </row>
    <row r="22" ht="96" customHeight="1">
      <c r="A22" s="7" t="inlineStr">
        <is>
          <t>G021</t>
        </is>
      </c>
      <c r="B22" s="7" t="inlineStr">
        <is>
          <t>02</t>
        </is>
      </c>
      <c r="C22" s="7" t="inlineStr">
        <is>
          <t>2026-09-25</t>
        </is>
      </c>
      <c r="D22" s="7" t="inlineStr">
        <is>
          <t>Aniket Shah</t>
        </is>
      </c>
      <c r="E22" s="7" t="inlineStr">
        <is>
          <t>Co-founder &amp; CEO</t>
        </is>
      </c>
      <c r="F22" s="7" t="inlineStr">
        <is>
          <t>Swish</t>
        </is>
      </c>
      <c r="G22" s="7" t="inlineStr">
        <is>
          <t>India</t>
        </is>
      </c>
      <c r="H22" s="7" t="inlineStr">
        <is>
          <t>Bengaluru</t>
        </is>
      </c>
      <c r="I22" s="8" t="inlineStr">
        <is>
          <t>https://www.linkedin.com/in/aniketshah30</t>
        </is>
      </c>
      <c r="J22" s="9" t="inlineStr">
        <is>
          <t>Yes</t>
        </is>
      </c>
      <c r="K22" s="7" t="inlineStr">
        <is>
          <t>$24M led by Bertelsmann India, with Accel and Bain Capital Ventures, to expand its 10-minute kitchen network</t>
        </is>
      </c>
      <c r="L22" s="7" t="inlineStr">
        <is>
          <t>2026-09-10</t>
        </is>
      </c>
      <c r="M22" s="10" t="inlineStr">
        <is>
          <t>https://entrackr.com/news/10-minute-food-delivery-startup-swish-raises-24-mn-led-by-bertelsmann-india-investments-12513814</t>
        </is>
      </c>
      <c r="N22" s="7" t="inlineStr">
        <is>
          <t>Milestone-only</t>
        </is>
      </c>
      <c r="O22" s="7" t="inlineStr">
        <is>
          <t>2025-03</t>
        </is>
      </c>
      <c r="P22" s="7" t="inlineStr">
        <is>
          <t>Indexed own posts: Founder's Office hiring (Jan 2025) and the last raise (Mar 2025). Co-founder Ujjwal Sukheja wrote the founding story the same week. Nothing indexed since.</t>
        </is>
      </c>
      <c r="Q22" s="7" t="n">
        <v>60</v>
      </c>
      <c r="R22" s="7">
        <f>IF(Q22&gt;=60,"Priority",IF(Q22&gt;=40,"Warm","Nurture"))</f>
        <v/>
      </c>
      <c r="S22" s="7" t="inlineStr">
        <is>
          <t>Quick commerce is crowded. The founder who explains why 10-minute fresh food works wins hires and press between rounds.</t>
        </is>
      </c>
      <c r="T22" s="7" t="inlineStr">
        <is>
          <t>Hi Aniket, congrats on the new round.
Neighbourhood kitchens within a kilometre is a sharp way to make 10 minutes work.
Would be good to connect.</t>
        </is>
      </c>
      <c r="U22" s="7" t="inlineStr">
        <is>
          <t>Thanks for connecting, Aniket.
Quick one. With the kitchen network growing, do you want your own LinkedIn telling that story?
Or is it mostly the brand account for now?</t>
        </is>
      </c>
      <c r="V22" s="7" t="inlineStr">
        <is>
          <t>Posts only at raises and hiring; no view of his own on hyperlocal food ops; featured section not pointing to Swish.</t>
        </is>
      </c>
      <c r="W22" s="7" t="inlineStr">
        <is>
          <t>Co-founders Ujjwal Sukheja and Saran S. also post. Pitch Aniket first.</t>
        </is>
      </c>
      <c r="X22" s="9" t="inlineStr">
        <is>
          <t>aniket@justswish.in</t>
        </is>
      </c>
      <c r="Y22" s="7" t="inlineStr">
        <is>
          <t>Swish's founder story</t>
        </is>
      </c>
      <c r="Z22" s="7" t="inlineStr">
        <is>
          <t>Hi Aniket,
Congrats on the $24M round.
Quick commerce is crowded, and Swish's story mostly shows up at raises and hiring posts. The founder who explains why 10-minute fresh food works wins the best hires and the press in between.
We build founder brands on LinkedIn, from positioning to weekly posts.
Open to a 15-minute call next week?
Prabal
Gliped | LinkedIn personal branding for founders
Not relevant? Reply "no" and I won't follow up.</t>
        </is>
      </c>
      <c r="AA22" s="7" t="inlineStr">
        <is>
          <t>Verified</t>
        </is>
      </c>
      <c r="AB22" s="7" t="inlineStr">
        <is>
          <t>Prospeo SMTP</t>
        </is>
      </c>
    </row>
    <row r="23" ht="96" customHeight="1">
      <c r="A23" s="7" t="inlineStr">
        <is>
          <t>G022</t>
        </is>
      </c>
      <c r="B23" s="7" t="inlineStr">
        <is>
          <t>02</t>
        </is>
      </c>
      <c r="C23" s="7" t="inlineStr">
        <is>
          <t>2026-09-25</t>
        </is>
      </c>
      <c r="D23" s="7" t="inlineStr">
        <is>
          <t>Sunil Gupta</t>
        </is>
      </c>
      <c r="E23" s="7" t="inlineStr">
        <is>
          <t>Co-founder &amp; CEO</t>
        </is>
      </c>
      <c r="F23" s="7" t="inlineStr">
        <is>
          <t>QNu Labs</t>
        </is>
      </c>
      <c r="G23" s="7" t="inlineStr">
        <is>
          <t>India</t>
        </is>
      </c>
      <c r="H23" s="7" t="inlineStr">
        <is>
          <t>Bengaluru</t>
        </is>
      </c>
      <c r="I23" s="8" t="inlineStr">
        <is>
          <t>https://www.linkedin.com/in/sunil-gupta-1733754</t>
        </is>
      </c>
      <c r="J23" s="9" t="inlineStr">
        <is>
          <t>Yes</t>
        </is>
      </c>
      <c r="K23" s="7" t="inlineStr">
        <is>
          <t>Rs 200 Cr Series A1 co-led by National Quantum Mission and Speciale Invest, with Sony Innovation Fund</t>
        </is>
      </c>
      <c r="L23" s="7" t="inlineStr">
        <is>
          <t>2026-09-09</t>
        </is>
      </c>
      <c r="M23" s="10" t="inlineStr">
        <is>
          <t>https://startuptalky.com/news/daily-indian-funding-roundup-key-news-9-september-2026/</t>
        </is>
      </c>
      <c r="N23" s="7" t="inlineStr">
        <is>
          <t>Company-news voice</t>
        </is>
      </c>
      <c r="O23" s="7" t="inlineStr">
        <is>
          <t>2025-12</t>
        </is>
      </c>
      <c r="P23" s="7" t="inlineStr">
        <is>
          <t>Posts company milestones one to three times a year since 2021: IMC 2022 (28 comments), India's first quantum telecom link, Tracxn ranking, a Dec 2025 breakthrough post. All announcements.</t>
        </is>
      </c>
      <c r="Q23" s="7" t="n">
        <v>50</v>
      </c>
      <c r="R23" s="7">
        <f>IF(Q23&gt;=60,"Priority",IF(Q23&gt;=40,"Warm","Nurture"))</f>
        <v/>
      </c>
      <c r="S23" s="7" t="inlineStr">
        <is>
          <t>Quantum security needs explaining to CISOs and government buyers. A founder voice on why quantum-safe matters now turns announcements into trust.</t>
        </is>
      </c>
      <c r="T23" s="7" t="inlineStr">
        <is>
          <t>Hi Sunil, congrats on the Series A1.
Quantum-safe security built out of India is a story more CISOs should hear.
Would be good to connect.</t>
        </is>
      </c>
      <c r="U23" s="7" t="inlineStr">
        <is>
          <t>Thanks for connecting, Sunil.
Your posts mostly announce QNu milestones.
Have you thought about explaining the why behind quantum-safe for buyers who are still catching up?</t>
        </is>
      </c>
      <c r="V23" s="7" t="inlineStr">
        <is>
          <t>Announcement-only feed; no plain-language line on what QNu does; no cadence between milestones.</t>
        </is>
      </c>
      <c r="W23" s="7" t="inlineStr">
        <is>
          <t>Deep tech, government and defence buyers. Keep it formal.</t>
        </is>
      </c>
      <c r="X23" s="9" t="inlineStr">
        <is>
          <t>sunil@qnulabs.com</t>
        </is>
      </c>
      <c r="Y23" s="7" t="inlineStr">
        <is>
          <t>Quantum-safe, explained</t>
        </is>
      </c>
      <c r="Z23" s="7" t="inlineStr">
        <is>
          <t>Hi Sunil,
Congrats on the Rs 200 Cr Series A1.
Your LinkedIn announces QNu's milestones well. What most CISOs and government buyers still need is the why: why quantum-safe, why now.
We help deep-tech founders build that voice on LinkedIn, steadily and credibly.
Worth a 15-minute call to see how it could work for you?
Prabal
Gliped | LinkedIn personal branding for founders
Not relevant? Reply "no" and I won't follow up.</t>
        </is>
      </c>
      <c r="AA23" s="7" t="inlineStr">
        <is>
          <t>Verified</t>
        </is>
      </c>
      <c r="AB23" s="7" t="inlineStr">
        <is>
          <t>Prospeo SMTP</t>
        </is>
      </c>
    </row>
    <row r="24" ht="96" customHeight="1">
      <c r="A24" s="7" t="inlineStr">
        <is>
          <t>G023</t>
        </is>
      </c>
      <c r="B24" s="7" t="inlineStr">
        <is>
          <t>02</t>
        </is>
      </c>
      <c r="C24" s="7" t="inlineStr">
        <is>
          <t>2026-09-25</t>
        </is>
      </c>
      <c r="D24" s="7" t="inlineStr">
        <is>
          <t>Prashant Shah</t>
        </is>
      </c>
      <c r="E24" s="7" t="inlineStr">
        <is>
          <t>Co-founder &amp; CEO</t>
        </is>
      </c>
      <c r="F24" s="7" t="inlineStr">
        <is>
          <t>Definedge</t>
        </is>
      </c>
      <c r="G24" s="7" t="inlineStr">
        <is>
          <t>India</t>
        </is>
      </c>
      <c r="H24" s="7" t="inlineStr">
        <is>
          <t>Pune</t>
        </is>
      </c>
      <c r="I24" s="8" t="inlineStr">
        <is>
          <t>https://www.linkedin.com/in/prashant-shah-definedge</t>
        </is>
      </c>
      <c r="J24" s="9" t="inlineStr">
        <is>
          <t>Yes</t>
        </is>
      </c>
      <c r="K24" s="7" t="inlineStr">
        <is>
          <t>Rs 22 Cr pre-Series A; total raised Rs 30 Cr; 14+ trading and investing platforms (Opstra, Zone, Algostra)</t>
        </is>
      </c>
      <c r="L24" s="7" t="inlineStr">
        <is>
          <t>2026-09-22</t>
        </is>
      </c>
      <c r="M24" s="10" t="inlineStr">
        <is>
          <t>https://entrackr.com/snippets/fintech-and-brokerage-startup-definedge-raises-rs-22-cr-in-pre-series-a-12562400</t>
        </is>
      </c>
      <c r="N24" s="7" t="inlineStr">
        <is>
          <t>Milestone-only</t>
        </is>
      </c>
      <c r="O24" s="7" t="inlineStr">
        <is>
          <t>2025-12</t>
        </is>
      </c>
      <c r="P24" s="7" t="inlineStr">
        <is>
          <t>One own post indexed (Dec 2025, a Definedge milestone). Holds CMT, CFTe, MFTA and MSTA, so he has deep technical-analysis credibility that barely shows on LinkedIn.</t>
        </is>
      </c>
      <c r="Q24" s="7" t="n">
        <v>50</v>
      </c>
      <c r="R24" s="7">
        <f>IF(Q24&gt;=60,"Priority",IF(Q24&gt;=40,"Warm","Nurture"))</f>
        <v/>
      </c>
      <c r="S24" s="7" t="inlineStr">
        <is>
          <t>Retail traders follow people, not platforms. His chartered-technician credibility is the brand asset.</t>
        </is>
      </c>
      <c r="T24" s="7" t="inlineStr">
        <is>
          <t>Hi Prashant, congrats on the pre-Series A.
Fourteen platforms for retail traders out of Pune is a lot of product.
Would be good to connect.</t>
        </is>
      </c>
      <c r="U24" s="7" t="inlineStr">
        <is>
          <t>Thanks for connecting, Prashant.
You carry more technical-analysis credentials than most people posting about markets.
Is building a voice on LinkedIn part of the plan now?</t>
        </is>
      </c>
      <c r="V24" s="7" t="inlineStr">
        <is>
          <t>Credentials in headline but no educational posts; no link to Definedge platforms; posts only at milestones.</t>
        </is>
      </c>
      <c r="W24" s="7" t="inlineStr">
        <is>
          <t>Check whether he already posts on YouTube or X. If so, pitch repurposing onto LinkedIn.</t>
        </is>
      </c>
      <c r="X24" s="9" t="inlineStr">
        <is>
          <t>prashant.shah@definedge.com</t>
        </is>
      </c>
      <c r="Y24" s="7" t="inlineStr">
        <is>
          <t>Your credentials, visible</t>
        </is>
      </c>
      <c r="Z24" s="7" t="inlineStr">
        <is>
          <t>Hi Prashant,
Congrats on the pre-Series A.
You carry more technical-analysis credentials than most people posting about markets, yet they barely show on LinkedIn. Retail traders follow people, not platforms.
We turn founders' expertise into a steady LinkedIn presence that pulls users to the product.
Open to a quick call?
Prabal
Gliped | LinkedIn personal branding for founders
Not relevant? Reply "no" and I won't follow up.</t>
        </is>
      </c>
      <c r="AA24" s="7" t="inlineStr">
        <is>
          <t>Verified</t>
        </is>
      </c>
      <c r="AB24" s="7" t="inlineStr">
        <is>
          <t>Prospeo SMTP Prospeo headline: Co-founder &amp; CEO</t>
        </is>
      </c>
    </row>
    <row r="25" ht="96" customHeight="1">
      <c r="A25" s="7" t="inlineStr">
        <is>
          <t>G024</t>
        </is>
      </c>
      <c r="B25" s="7" t="inlineStr">
        <is>
          <t>02</t>
        </is>
      </c>
      <c r="C25" s="7" t="inlineStr">
        <is>
          <t>2026-09-25</t>
        </is>
      </c>
      <c r="D25" s="7" t="inlineStr">
        <is>
          <t>Abhijit (AB) Gupta</t>
        </is>
      </c>
      <c r="E25" s="7" t="inlineStr">
        <is>
          <t>Co-founder</t>
        </is>
      </c>
      <c r="F25" s="7" t="inlineStr">
        <is>
          <t>Popo Global (The Pizza Bakery, Paris Panini, Smash Guys)</t>
        </is>
      </c>
      <c r="G25" s="7" t="inlineStr">
        <is>
          <t>India</t>
        </is>
      </c>
      <c r="H25" s="7" t="inlineStr">
        <is>
          <t>Bengaluru</t>
        </is>
      </c>
      <c r="I25" s="8" t="inlineStr">
        <is>
          <t>https://www.linkedin.com/in/ab-gupta-9b1b8210</t>
        </is>
      </c>
      <c r="J25" s="9" t="inlineStr">
        <is>
          <t>Yes</t>
        </is>
      </c>
      <c r="K25" s="7" t="inlineStr">
        <is>
          <t>Rs 532 Cr from Artal Asia to expand beyond Bengaluru</t>
        </is>
      </c>
      <c r="L25" s="7" t="inlineStr">
        <is>
          <t>2026-09-11</t>
        </is>
      </c>
      <c r="M25" s="10" t="inlineStr">
        <is>
          <t>https://entrackr.com/snippets/the-pizza-bakery-operator-popo-global-raises-rs-532-cr-from-artal-asia-12518089</t>
        </is>
      </c>
      <c r="N25" s="7" t="inlineStr">
        <is>
          <t>Went quiet</t>
        </is>
      </c>
      <c r="O25" s="7" t="inlineStr">
        <is>
          <t>2023-04</t>
        </is>
      </c>
      <c r="P25" s="7" t="inlineStr">
        <is>
          <t>Posted 'Growth Stories: Lessons from The Pizza Bakery' (Apr 2023) and spoke on an investor panel about building F&amp;B without growth capital (May 2023). The company page carries it since.</t>
        </is>
      </c>
      <c r="Q25" s="7" t="n">
        <v>60</v>
      </c>
      <c r="R25" s="7">
        <f>IF(Q25&gt;=60,"Priority",IF(Q25&gt;=40,"Warm","Nurture"))</f>
        <v/>
      </c>
      <c r="S25" s="7" t="inlineStr">
        <is>
          <t>He built without outside capital and now has Rs 532 Cr. That's a founder story F&amp;B operators and new-city hires will follow.</t>
        </is>
      </c>
      <c r="T25" s="7" t="inlineStr">
        <is>
          <t>Hi AB, congrats on the Artal round.
Building The Pizza Bakery without growth capital first makes this one more interesting.
Would be good to connect.</t>
        </is>
      </c>
      <c r="U25" s="7" t="inlineStr">
        <is>
          <t>Thanks for connecting, AB.
Your growth-stories episode from 2023 was one of the few times you told the story yourself.
With new cities coming, is that something you want to do more of?</t>
        </is>
      </c>
      <c r="V25" s="7" t="inlineStr">
        <is>
          <t>Three-year gap; profile doesn't show the three brands; expansion story is untold.</t>
        </is>
      </c>
      <c r="W25" s="7" t="inlineStr">
        <is>
          <t>Co-founder brother Nikhil Gupta. Pitch AB first.</t>
        </is>
      </c>
      <c r="X25" s="9" t="inlineStr"/>
      <c r="Y25" s="7" t="inlineStr">
        <is>
          <t>Pizza Bakery, next cities</t>
        </is>
      </c>
      <c r="Z25" s="7" t="inlineStr">
        <is>
          <t>Hi AB,
Congrats on the Rs 532 Cr round from Artal.
You built The Pizza Bakery without growth capital. That's a founder story F&amp;B operators, landlords and new-city hires will follow, and it hasn't been on your LinkedIn since 2023.
We build founder brands on LinkedIn around stories like that.
Worth 15 minutes to talk it through?
Prabal
Gliped | LinkedIn personal branding for founders
Not relevant? Reply "no" and I won't follow up.</t>
        </is>
      </c>
      <c r="AA25" s="7" t="inlineStr">
        <is>
          <t>Not found</t>
        </is>
      </c>
      <c r="AB25" s="7" t="inlineStr"/>
    </row>
    <row r="26" ht="96" customHeight="1">
      <c r="A26" s="7" t="inlineStr">
        <is>
          <t>G025</t>
        </is>
      </c>
      <c r="B26" s="7" t="inlineStr">
        <is>
          <t>02</t>
        </is>
      </c>
      <c r="C26" s="7" t="inlineStr">
        <is>
          <t>2026-09-25</t>
        </is>
      </c>
      <c r="D26" s="7" t="inlineStr">
        <is>
          <t>Karan Jain</t>
        </is>
      </c>
      <c r="E26" s="7" t="inlineStr">
        <is>
          <t>Founder &amp; CEO</t>
        </is>
      </c>
      <c r="F26" s="7" t="inlineStr">
        <is>
          <t>Carrum Mobility</t>
        </is>
      </c>
      <c r="G26" s="7" t="inlineStr">
        <is>
          <t>India</t>
        </is>
      </c>
      <c r="H26" s="7" t="inlineStr">
        <is>
          <t>Bengaluru</t>
        </is>
      </c>
      <c r="I26" s="8" t="inlineStr">
        <is>
          <t>https://www.linkedin.com/search/results/people/?keywords=Karan%20Jain%20Carrum%20Mobility</t>
        </is>
      </c>
      <c r="J26" s="9" t="inlineStr">
        <is>
          <t>No</t>
        </is>
      </c>
      <c r="K26" s="7" t="inlineStr">
        <is>
          <t>$10M Series B led by Uber at about $168M valuation; business nearly doubled since January; profitable since month one</t>
        </is>
      </c>
      <c r="L26" s="7" t="inlineStr">
        <is>
          <t>2026-09-09</t>
        </is>
      </c>
      <c r="M26" s="10" t="inlineStr">
        <is>
          <t>https://techcrunch.com/2026/09/09/uber-invests-10m-in-indian-fleet-operator-carrum-at-168m-valuation/</t>
        </is>
      </c>
      <c r="N26" s="7" t="inlineStr">
        <is>
          <t>Not indexed</t>
        </is>
      </c>
      <c r="O26" s="7" t="inlineStr"/>
      <c r="P26" s="7" t="inlineStr">
        <is>
          <t>No own posts indexed. Several people share the name, so confirm the profile first. He previously founded Revv (acquired by CarDekho).</t>
        </is>
      </c>
      <c r="Q26" s="7" t="n">
        <v>60</v>
      </c>
      <c r="R26" s="7">
        <f>IF(Q26&gt;=60,"Priority",IF(Q26&gt;=40,"Warm","Nurture"))</f>
        <v/>
      </c>
      <c r="S26" s="7" t="inlineStr">
        <is>
          <t>Second-time founder, profitable from month one, backed twice by Uber. A rare story in mobility that he isn't telling.</t>
        </is>
      </c>
      <c r="T26" s="7" t="inlineStr">
        <is>
          <t>Hi Karan, congrats on the Uber round.
Profitable from month one in fleet management is rare. Following Carrum.
Would be good to connect.</t>
        </is>
      </c>
      <c r="U26" s="7" t="inlineStr">
        <is>
          <t>Thanks for connecting, Karan.
Between Revv and Carrum you've got a founder story most people in mobility would want to hear.
Is LinkedIn somewhere you want to tell it?</t>
        </is>
      </c>
      <c r="V26" s="7" t="inlineStr">
        <is>
          <t>Confirm profile; check headline mentions Revv exit; content line on profitable fleet ops and the EV and CNG shift.</t>
        </is>
      </c>
      <c r="W26" s="7" t="inlineStr">
        <is>
          <t>Confirm profile before sending.</t>
        </is>
      </c>
      <c r="X26" s="9" t="inlineStr"/>
      <c r="Y26" s="7" t="inlineStr">
        <is>
          <t>Profitable from month one</t>
        </is>
      </c>
      <c r="Z26" s="7" t="inlineStr">
        <is>
          <t>Hi Karan,
Congrats on the Uber-led round.
A second-time founder, profitable from month one, backed twice by Uber. Very few people in mobility can tell that story, and right now you're not telling it on LinkedIn.
We build founder brands on LinkedIn, from positioning to weekly posts.
Open to a 15-minute call next week?
Prabal
Gliped | LinkedIn personal branding for founders
Not relevant? Reply "no" and I won't follow up.</t>
        </is>
      </c>
      <c r="AA26" s="7" t="inlineStr">
        <is>
          <t>Not found</t>
        </is>
      </c>
      <c r="AB26" s="7" t="inlineStr"/>
    </row>
    <row r="27" ht="96" customHeight="1">
      <c r="A27" s="7" t="inlineStr">
        <is>
          <t>G026</t>
        </is>
      </c>
      <c r="B27" s="7" t="inlineStr">
        <is>
          <t>02</t>
        </is>
      </c>
      <c r="C27" s="7" t="inlineStr">
        <is>
          <t>2026-09-25</t>
        </is>
      </c>
      <c r="D27" s="7" t="inlineStr">
        <is>
          <t>Abhishek Murarka</t>
        </is>
      </c>
      <c r="E27" s="7" t="inlineStr">
        <is>
          <t>Co-founder &amp; CEO</t>
        </is>
      </c>
      <c r="F27" s="7" t="inlineStr">
        <is>
          <t>Circolife</t>
        </is>
      </c>
      <c r="G27" s="7" t="inlineStr">
        <is>
          <t>India</t>
        </is>
      </c>
      <c r="H27" s="7" t="inlineStr"/>
      <c r="I27" s="8" t="inlineStr">
        <is>
          <t>https://www.linkedin.com/in/abhishek-murarka-633b876</t>
        </is>
      </c>
      <c r="J27" s="9" t="inlineStr">
        <is>
          <t>Yes</t>
        </is>
      </c>
      <c r="K27" s="7" t="inlineStr">
        <is>
          <t>$4.5M (Rs 40.45 Cr) pre-Series A anchored by Bharat Jaisinghani of Polycab, with Nitish Mittersain; target 40,000 cooling units</t>
        </is>
      </c>
      <c r="L27" s="7" t="inlineStr">
        <is>
          <t>2026-09-08</t>
        </is>
      </c>
      <c r="M27" s="10" t="inlineStr">
        <is>
          <t>https://www.exchange4media.com/industry-briefing-news/circolife-raises-45-mn-pre-series-a-158085.html</t>
        </is>
      </c>
      <c r="N27" s="7" t="inlineStr">
        <is>
          <t>Not indexed</t>
        </is>
      </c>
      <c r="O27" s="7" t="inlineStr"/>
      <c r="P27" s="7" t="inlineStr">
        <is>
          <t>Indexed posts under this name are about investing and wealth (2021 to 2024) and may be a different person. The Circolife company page posts regularly.</t>
        </is>
      </c>
      <c r="Q27" s="7" t="n">
        <v>50</v>
      </c>
      <c r="R27" s="7">
        <f>IF(Q27&gt;=60,"Priority",IF(Q27&gt;=40,"Warm","Nurture"))</f>
        <v/>
      </c>
      <c r="S27" s="7" t="inlineStr">
        <is>
          <t>Cooling-as-a-service is a new category. Businesses buying it want to trust the operator behind it.</t>
        </is>
      </c>
      <c r="T27" s="7" t="inlineStr">
        <is>
          <t>Hi Abhishek, congrats on the pre-Series A.
Cooling as a subscription is a smart model for Indian offices.
Would be good to connect.</t>
        </is>
      </c>
      <c r="U27" s="7" t="inlineStr">
        <is>
          <t>Thanks for connecting, Abhishek.
The company page is doing the talking for Circolife right now.
Is building your own voice around the category something you've thought about?</t>
        </is>
      </c>
      <c r="V27" s="7" t="inlineStr">
        <is>
          <t>Confirm profile; company page posts, founder silent; content line on energy savings and IoT maintenance.</t>
        </is>
      </c>
      <c r="W27" s="7" t="inlineStr">
        <is>
          <t>Profile confirmed via Prospeo (CEO &amp; Co-Founder, Circolife). Indexed posts under this name were a different person.</t>
        </is>
      </c>
      <c r="X27" s="9" t="inlineStr">
        <is>
          <t>abhishek@circolife.com</t>
        </is>
      </c>
      <c r="Y27" s="7" t="inlineStr">
        <is>
          <t>Cooling as a category</t>
        </is>
      </c>
      <c r="Z27" s="7" t="inlineStr">
        <is>
          <t>Hi Abhishek,
Congrats on the pre-Series A.
Cooling-as-a-service is a new category, and businesses buying it want to trust the operator behind it. Right now Circolife's page does the talking.
We help founders build their own voice on LinkedIn around the category they're creating.
Worth a quick call to see if it fits?
Prabal
Gliped | LinkedIn personal branding for founders
Not relevant? Reply "no" and I won't follow up.</t>
        </is>
      </c>
      <c r="AA27" s="7" t="inlineStr">
        <is>
          <t>Verified</t>
        </is>
      </c>
      <c r="AB27" s="7" t="inlineStr">
        <is>
          <t>Prospeo SMTP PROFILE https://www.linkedin.com/in/abhishek-murarka-633b876 (CEO &amp; Co-Founder Circolife)</t>
        </is>
      </c>
    </row>
    <row r="28" ht="96" customHeight="1">
      <c r="A28" s="7" t="inlineStr">
        <is>
          <t>G027</t>
        </is>
      </c>
      <c r="B28" s="7" t="inlineStr">
        <is>
          <t>02</t>
        </is>
      </c>
      <c r="C28" s="7" t="inlineStr">
        <is>
          <t>2026-09-25</t>
        </is>
      </c>
      <c r="D28" s="7" t="inlineStr">
        <is>
          <t>Sneha Priya Reddy</t>
        </is>
      </c>
      <c r="E28" s="7" t="inlineStr">
        <is>
          <t>Co-founder</t>
        </is>
      </c>
      <c r="F28" s="7" t="inlineStr">
        <is>
          <t>UniqYou</t>
        </is>
      </c>
      <c r="G28" s="7" t="inlineStr">
        <is>
          <t>India</t>
        </is>
      </c>
      <c r="H28" s="7" t="inlineStr">
        <is>
          <t>Bengaluru</t>
        </is>
      </c>
      <c r="I28" s="8" t="inlineStr">
        <is>
          <t>https://www.linkedin.com/search/results/people/?keywords=Sneha%20Priya%20Reddy%20UniqYou</t>
        </is>
      </c>
      <c r="J28" s="9" t="inlineStr">
        <is>
          <t>No</t>
        </is>
      </c>
      <c r="K28" s="7" t="inlineStr">
        <is>
          <t>Rs 15.8 Cr seed led by Arkam Ventures and Antler; company founded 2026; angels include Myntra's co-founder and former CEO</t>
        </is>
      </c>
      <c r="L28" s="7" t="inlineStr">
        <is>
          <t>2026-09-14</t>
        </is>
      </c>
      <c r="M28" s="10" t="inlineStr">
        <is>
          <t>https://startuptalky.com/news/daily-indian-funding-roundup-key-news-14-september-2026/</t>
        </is>
      </c>
      <c r="N28" s="7" t="inlineStr">
        <is>
          <t>Not indexed</t>
        </is>
      </c>
      <c r="O28" s="7" t="inlineStr"/>
      <c r="P28" s="7" t="inlineStr">
        <is>
          <t>No own posts indexed. Brand-new company, so her founder presence is starting from zero.</t>
        </is>
      </c>
      <c r="Q28" s="7" t="n">
        <v>60</v>
      </c>
      <c r="R28" s="7">
        <f>IF(Q28&gt;=60,"Priority",IF(Q28&gt;=40,"Warm","Nurture"))</f>
        <v/>
      </c>
      <c r="S28" s="7" t="inlineStr">
        <is>
          <t>Women's fashion is built on trust and taste. A founder-led feed at launch is cheaper than paid acquisition.</t>
        </is>
      </c>
      <c r="T28" s="7" t="inlineStr">
        <is>
          <t>Hi Sneha, congrats on the seed.
A tech-first platform for women's fashion with the Myntra founders behind it is a strong start.
Would be good to connect.</t>
        </is>
      </c>
      <c r="U28" s="7" t="inlineStr">
        <is>
          <t>Thanks for connecting, Sneha.
In fashion, people buy into the founder's taste first.
Is your own LinkedIn part of the launch plan for UniqYou?</t>
        </is>
      </c>
      <c r="V28" s="7" t="inlineStr">
        <is>
          <t>Confirm profile; launch story; build-in-public format for the first 90 days.</t>
        </is>
      </c>
      <c r="W28" s="7" t="inlineStr">
        <is>
          <t>Confirm profile. Co-founder Nishanth Jois.</t>
        </is>
      </c>
      <c r="X28" s="9" t="inlineStr"/>
      <c r="Y28" s="7" t="inlineStr">
        <is>
          <t>UniqYou's launch voice</t>
        </is>
      </c>
      <c r="Z28" s="7" t="inlineStr">
        <is>
          <t>Hi Sneha,
Congrats on the seed, and on backers like the Myntra founders.
In fashion, people buy into the founder's taste first. A founder-led LinkedIn at launch often costs less than paid acquisition and brings hires with it.
We build founder brands on LinkedIn from day one.
Open to 15 minutes to plan your first 90 days?
Prabal
Gliped | LinkedIn personal branding for founders
Not relevant? Reply "no" and I won't follow up.</t>
        </is>
      </c>
      <c r="AA28" s="7" t="inlineStr">
        <is>
          <t>Not found</t>
        </is>
      </c>
      <c r="AB28" s="7" t="inlineStr"/>
    </row>
    <row r="29" ht="96" customHeight="1">
      <c r="A29" s="7" t="inlineStr">
        <is>
          <t>G028</t>
        </is>
      </c>
      <c r="B29" s="7" t="inlineStr">
        <is>
          <t>02</t>
        </is>
      </c>
      <c r="C29" s="7" t="inlineStr">
        <is>
          <t>2026-09-25</t>
        </is>
      </c>
      <c r="D29" s="7" t="inlineStr">
        <is>
          <t>Ankit Joshi</t>
        </is>
      </c>
      <c r="E29" s="7" t="inlineStr">
        <is>
          <t>Co-founder</t>
        </is>
      </c>
      <c r="F29" s="7" t="inlineStr">
        <is>
          <t>TRUE ARTIS</t>
        </is>
      </c>
      <c r="G29" s="7" t="inlineStr">
        <is>
          <t>India</t>
        </is>
      </c>
      <c r="H29" s="7" t="inlineStr">
        <is>
          <t>Delhi NCR</t>
        </is>
      </c>
      <c r="I29" s="8" t="inlineStr">
        <is>
          <t>https://www.linkedin.com/search/results/people/?keywords=Ankit%20Joshi%20TRUE%20ARTIS</t>
        </is>
      </c>
      <c r="J29" s="9" t="inlineStr">
        <is>
          <t>No</t>
        </is>
      </c>
      <c r="K29" s="7" t="inlineStr">
        <is>
          <t>Rs 11.4 Cr seed led by Zeropearl VC, with Medanta co-founder's group Eleven; two aesthetic surgery centres in Delhi and Gurgaon</t>
        </is>
      </c>
      <c r="L29" s="7" t="inlineStr">
        <is>
          <t>2026-09-16</t>
        </is>
      </c>
      <c r="M29" s="10" t="inlineStr">
        <is>
          <t>https://startuptalky.com/news/daily-indian-funding-roundup-key-news-16-september-2026/</t>
        </is>
      </c>
      <c r="N29" s="7" t="inlineStr">
        <is>
          <t>Not indexed</t>
        </is>
      </c>
      <c r="O29" s="7" t="inlineStr"/>
      <c r="P29" s="7" t="inlineStr">
        <is>
          <t>No own posts indexed that clearly match. Many profiles share the name.</t>
        </is>
      </c>
      <c r="Q29" s="7" t="n">
        <v>50</v>
      </c>
      <c r="R29" s="7">
        <f>IF(Q29&gt;=60,"Priority",IF(Q29&gt;=40,"Warm","Nurture"))</f>
        <v/>
      </c>
      <c r="S29" s="7" t="inlineStr">
        <is>
          <t>Aesthetic surgery is a trust purchase. A founder who explains safety and standards sets the brand apart from clinics.</t>
        </is>
      </c>
      <c r="T29" s="7" t="inlineStr">
        <is>
          <t>Hi Ankit, congrats on the seed.
An integrated aesthetic surgery platform with Medanta-linked backing is a strong signal.
Would be good to connect.</t>
        </is>
      </c>
      <c r="U29" s="7" t="inlineStr">
        <is>
          <t>Thanks for connecting, Ankit.
In aesthetics, patients check who's behind the clinic before they book.
Is founder content part of how you want to build TRUE ARTIS?</t>
        </is>
      </c>
      <c r="V29" s="7" t="inlineStr">
        <is>
          <t>Confirm profile; trust and safety content line; doctor partner features.</t>
        </is>
      </c>
      <c r="W29" s="7" t="inlineStr">
        <is>
          <t>Confirm profile. Co-founder Sandeep Upadhyay. Medical advertising rules apply to content.</t>
        </is>
      </c>
      <c r="X29" s="9" t="inlineStr"/>
      <c r="Y29" s="7" t="inlineStr">
        <is>
          <t>TRUE ARTIS, trust first</t>
        </is>
      </c>
      <c r="Z29" s="7" t="inlineStr">
        <is>
          <t>Hi Ankit,
Congrats on the seed.
In aesthetic surgery, patients check who's behind the clinic before they book. A founder who talks openly about safety and standards sets TRUE ARTIS apart.
We build founder brands on LinkedIn, carefully and within medical advertising norms.
Worth a 15-minute call?
Prabal
Gliped | LinkedIn personal branding for founders
Not relevant? Reply "no" and I won't follow up.</t>
        </is>
      </c>
      <c r="AA29" s="7" t="inlineStr">
        <is>
          <t>Not found</t>
        </is>
      </c>
      <c r="AB29" s="7" t="inlineStr"/>
    </row>
    <row r="30" ht="96" customHeight="1">
      <c r="A30" s="7" t="inlineStr">
        <is>
          <t>G029</t>
        </is>
      </c>
      <c r="B30" s="7" t="inlineStr">
        <is>
          <t>02</t>
        </is>
      </c>
      <c r="C30" s="7" t="inlineStr">
        <is>
          <t>2026-09-25</t>
        </is>
      </c>
      <c r="D30" s="7" t="inlineStr">
        <is>
          <t>Devang Kumar</t>
        </is>
      </c>
      <c r="E30" s="7" t="inlineStr">
        <is>
          <t>Founder &amp; CEO</t>
        </is>
      </c>
      <c r="F30" s="7" t="inlineStr">
        <is>
          <t>Greenwave Circularity</t>
        </is>
      </c>
      <c r="G30" s="7" t="inlineStr">
        <is>
          <t>India</t>
        </is>
      </c>
      <c r="H30" s="7" t="inlineStr">
        <is>
          <t>Odisha</t>
        </is>
      </c>
      <c r="I30" s="8" t="inlineStr">
        <is>
          <t>https://www.linkedin.com/search/results/people/?keywords=Devang%20Kumar%20Greenwave%20Circularity</t>
        </is>
      </c>
      <c r="J30" s="9" t="inlineStr">
        <is>
          <t>No</t>
        </is>
      </c>
      <c r="K30" s="7" t="inlineStr">
        <is>
          <t>$31.5M financing from OeEB (Development Bank of Austria) for a closed-loop PET recycling plant; JV with a Coca-Cola bottler</t>
        </is>
      </c>
      <c r="L30" s="7" t="inlineStr">
        <is>
          <t>2026-09-09</t>
        </is>
      </c>
      <c r="M30" s="10" t="inlineStr">
        <is>
          <t>https://indianstartupnews.com/funding/greenwave-circularity-raises-315-million-from-oeeb-for-odisha-pet-recycling-plant-12516293</t>
        </is>
      </c>
      <c r="N30" s="7" t="inlineStr">
        <is>
          <t>Not indexed</t>
        </is>
      </c>
      <c r="O30" s="7" t="inlineStr"/>
      <c r="P30" s="7" t="inlineStr">
        <is>
          <t>No own posts indexed.</t>
        </is>
      </c>
      <c r="Q30" s="7" t="n">
        <v>50</v>
      </c>
      <c r="R30" s="7">
        <f>IF(Q30&gt;=60,"Priority",IF(Q30&gt;=40,"Warm","Nurture"))</f>
        <v/>
      </c>
      <c r="S30" s="7" t="inlineStr">
        <is>
          <t>Circular economy buyers (brands, bottlers, ESG teams) look for credible operators. A founder voice on recycled PET fills that gap.</t>
        </is>
      </c>
      <c r="T30" s="7" t="inlineStr">
        <is>
          <t>Hi Devang, congrats on the OeEB financing.
Closed-loop PET recycling at that scale is what brand ESG targets need.
Would be good to connect.</t>
        </is>
      </c>
      <c r="U30" s="7" t="inlineStr">
        <is>
          <t>Thanks for connecting, Devang.
Most brand sustainability leads are on LinkedIn.
Is building a voice there part of how you plan to win offtake partners?</t>
        </is>
      </c>
      <c r="V30" s="7" t="inlineStr">
        <is>
          <t>Confirm profile; ESG buyer content line; plant progress series.</t>
        </is>
      </c>
      <c r="W30" s="7" t="inlineStr">
        <is>
          <t>Confirm profile. This is debt financing, not equity, so avoid calling it a round.</t>
        </is>
      </c>
      <c r="X30" s="9" t="inlineStr"/>
      <c r="Y30" s="7" t="inlineStr">
        <is>
          <t>Greenwave and ESG buyers</t>
        </is>
      </c>
      <c r="Z30" s="7" t="inlineStr">
        <is>
          <t>Hi Devang,
Congrats on the OeEB financing.
The brand sustainability leads you'll want as offtake partners are on LinkedIn. A founder voice on closed-loop PET recycling gives them a reason to call you first.
We build founder brands on LinkedIn, aimed at the buyers that matter.
Open to a quick call?
Prabal
Gliped | LinkedIn personal branding for founders
Not relevant? Reply "no" and I won't follow up.</t>
        </is>
      </c>
      <c r="AA30" s="7" t="inlineStr">
        <is>
          <t>Not found</t>
        </is>
      </c>
      <c r="AB30" s="7" t="inlineStr"/>
    </row>
    <row r="31" ht="96" customHeight="1">
      <c r="A31" s="7" t="inlineStr">
        <is>
          <t>G030</t>
        </is>
      </c>
      <c r="B31" s="7" t="inlineStr">
        <is>
          <t>02</t>
        </is>
      </c>
      <c r="C31" s="7" t="inlineStr">
        <is>
          <t>2026-09-25</t>
        </is>
      </c>
      <c r="D31" s="7" t="inlineStr">
        <is>
          <t>Avni Jain</t>
        </is>
      </c>
      <c r="E31" s="7" t="inlineStr">
        <is>
          <t>Founder</t>
        </is>
      </c>
      <c r="F31" s="7" t="inlineStr">
        <is>
          <t>Nuvah</t>
        </is>
      </c>
      <c r="G31" s="7" t="inlineStr">
        <is>
          <t>India</t>
        </is>
      </c>
      <c r="H31" s="7" t="inlineStr"/>
      <c r="I31" s="8" t="inlineStr">
        <is>
          <t>https://www.linkedin.com/in/avni-jain-05b45448</t>
        </is>
      </c>
      <c r="J31" s="9" t="inlineStr">
        <is>
          <t>Yes</t>
        </is>
      </c>
      <c r="K31" s="7" t="inlineStr">
        <is>
          <t>Rs 4 Cr pre-seed from Amit Jain (CarDekho), Shantanu Deshpande (Bombay Shaving Co) and Ishendra Agarwal (GIVA); comfort-engineered heels</t>
        </is>
      </c>
      <c r="L31" s="7" t="inlineStr">
        <is>
          <t>2026-09-22</t>
        </is>
      </c>
      <c r="M31" s="10" t="inlineStr">
        <is>
          <t>https://startuptalky.com/news/nuvah-raises-4-crore-pre-seed-comfort-heels/</t>
        </is>
      </c>
      <c r="N31" s="7" t="inlineStr">
        <is>
          <t>Not indexed</t>
        </is>
      </c>
      <c r="O31" s="7" t="inlineStr"/>
      <c r="P31" s="7" t="inlineStr">
        <is>
          <t>No own posts indexed that match. Ex-McKinsey, Goldman Sachs and VC; IIM Ahmedabad.</t>
        </is>
      </c>
      <c r="Q31" s="7" t="n">
        <v>50</v>
      </c>
      <c r="R31" s="7">
        <f>IF(Q31&gt;=60,"Priority",IF(Q31&gt;=40,"Warm","Nurture"))</f>
        <v/>
      </c>
      <c r="S31" s="7" t="inlineStr">
        <is>
          <t>D2C founder with a product-obsession story (24 prototypes, 900 hours of wear testing). That's content.</t>
        </is>
      </c>
      <c r="T31" s="7" t="inlineStr">
        <is>
          <t>Hi Avni, congrats on the pre-seed.
24 prototypes to get a heel that doesn't hurt is the kind of detail that sells.
Would be good to connect.</t>
        </is>
      </c>
      <c r="U31" s="7" t="inlineStr">
        <is>
          <t>Thanks for connecting, Avni.
The build story behind Nuvah is strong content on its own.
Is founder-led content part of the launch plan?</t>
        </is>
      </c>
      <c r="V31" s="7" t="inlineStr">
        <is>
          <t>Confirm profile; build-in-public series; headline from consulting to founder.</t>
        </is>
      </c>
      <c r="W31" s="7" t="inlineStr">
        <is>
          <t>Profile confirmed via Prospeo (Founder &amp; CEO, Nuvah). Pre-seed budget.</t>
        </is>
      </c>
      <c r="X31" s="9" t="inlineStr">
        <is>
          <t>avni@nuvah.in</t>
        </is>
      </c>
      <c r="Y31" s="7" t="inlineStr">
        <is>
          <t>24 prototypes is content</t>
        </is>
      </c>
      <c r="Z31" s="7" t="inlineStr">
        <is>
          <t>Hi Avni,
Congrats on the pre-seed.
24 prototypes and 900 hours of wear testing to get a heel that doesn't hurt. That build story is content most D2C founders would kill for.
We help founders turn stories like that into a steady LinkedIn presence, sized for an early-stage budget.
Worth a 15-minute call?
Prabal
Gliped | LinkedIn personal branding for founders
Not relevant? Reply "no" and I won't follow up.</t>
        </is>
      </c>
      <c r="AA31" s="7" t="inlineStr">
        <is>
          <t>Verified</t>
        </is>
      </c>
      <c r="AB31" s="7" t="inlineStr">
        <is>
          <t>Prospeo SMTP PROFILE https://www.linkedin.com/in/avni-jain-05b45448 (Founder &amp; CEO Nuvah)</t>
        </is>
      </c>
    </row>
    <row r="32" ht="96" customHeight="1">
      <c r="A32" s="7" t="inlineStr">
        <is>
          <t>G031</t>
        </is>
      </c>
      <c r="B32" s="7" t="inlineStr">
        <is>
          <t>02</t>
        </is>
      </c>
      <c r="C32" s="7" t="inlineStr">
        <is>
          <t>2026-09-25</t>
        </is>
      </c>
      <c r="D32" s="7" t="inlineStr">
        <is>
          <t>Charlie Bullock</t>
        </is>
      </c>
      <c r="E32" s="7" t="inlineStr">
        <is>
          <t>Co-founder &amp; CEO</t>
        </is>
      </c>
      <c r="F32" s="7" t="inlineStr">
        <is>
          <t>Scan.com</t>
        </is>
      </c>
      <c r="G32" s="7" t="inlineStr">
        <is>
          <t>UK</t>
        </is>
      </c>
      <c r="H32" s="7" t="inlineStr">
        <is>
          <t>London</t>
        </is>
      </c>
      <c r="I32" s="8" t="inlineStr">
        <is>
          <t>https://www.linkedin.com/in/charlie-bullock</t>
        </is>
      </c>
      <c r="J32" s="9" t="inlineStr">
        <is>
          <t>Yes</t>
        </is>
      </c>
      <c r="K32" s="7" t="inlineStr">
        <is>
          <t>$220M incl. $90M Series C equity led by Noteus Partners, to build the largest US imaging network</t>
        </is>
      </c>
      <c r="L32" s="7" t="inlineStr">
        <is>
          <t>2026-08-31</t>
        </is>
      </c>
      <c r="M32" s="10" t="inlineStr">
        <is>
          <t>https://www.businesswire.com/news/home/20260831019981/en/Scan.com-Raises-$220-Million-to-Build-the-Largest-Medical-Imaging-Network-in-the-US</t>
        </is>
      </c>
      <c r="N32" s="7" t="inlineStr">
        <is>
          <t>Milestone-only</t>
        </is>
      </c>
      <c r="O32" s="7" t="inlineStr">
        <is>
          <t>2025-03</t>
        </is>
      </c>
      <c r="P32" s="7" t="inlineStr">
        <is>
          <t>Forbes 30 Under 30 (Apr 2024), Deloitte recognition (Nov 2024), a healthtech diagnostics post with 59 comments (Mar 2025). Last own post indexed Mar 2025.</t>
        </is>
      </c>
      <c r="Q32" s="7" t="n">
        <v>60</v>
      </c>
      <c r="R32" s="7">
        <f>IF(Q32&gt;=60,"Priority",IF(Q32&gt;=40,"Warm","Nurture"))</f>
        <v/>
      </c>
      <c r="S32" s="7" t="inlineStr">
        <is>
          <t>Moving the centre of gravity to the US. US health systems and partners don't know him yet.</t>
        </is>
      </c>
      <c r="T32" s="7" t="inlineStr">
        <is>
          <t>Hi Charlie, congrats on the Series C.
Building a national imaging network in the US from a UK start is a big move.
Would be good to connect.</t>
        </is>
      </c>
      <c r="U32" s="7" t="inlineStr">
        <is>
          <t>Thanks for connecting, Charlie.
Your posts do well when you post. The last one I could find was March 2025.
With the US push, is getting back to it on the list?</t>
        </is>
      </c>
      <c r="V32" s="7" t="inlineStr">
        <is>
          <t>18-month gap; UK framing; US health-system audience content line.</t>
        </is>
      </c>
      <c r="W32" s="7" t="inlineStr">
        <is>
          <t>Likely has comms support. Ask who owns his LinkedIn.</t>
        </is>
      </c>
      <c r="X32" s="9" t="inlineStr">
        <is>
          <t>charlie@scan.com</t>
        </is>
      </c>
      <c r="Y32" s="7" t="inlineStr">
        <is>
          <t>Scan.com's US chapter</t>
        </is>
      </c>
      <c r="Z32" s="7" t="inlineStr">
        <is>
          <t>Hi Charlie,
Congrats on the Series C and the US push.
Your posts land well when you post, but the last one I could find was March 2025. US health systems and partners are meeting you for the first time now.
We help founders keep a steady, credible LinkedIn presence, working with your comms team.
Worth a 15-minute call?
Prabal
Gliped | LinkedIn personal branding for founders
Not relevant? Reply "no" and I won't follow up.</t>
        </is>
      </c>
      <c r="AA32" s="7" t="inlineStr">
        <is>
          <t>Verified</t>
        </is>
      </c>
      <c r="AB32" s="7" t="inlineStr">
        <is>
          <t>Prospeo SMTP Based in Atlanta per Prospeo</t>
        </is>
      </c>
    </row>
    <row r="33" ht="96" customHeight="1">
      <c r="A33" s="7" t="inlineStr">
        <is>
          <t>G032</t>
        </is>
      </c>
      <c r="B33" s="7" t="inlineStr">
        <is>
          <t>02</t>
        </is>
      </c>
      <c r="C33" s="7" t="inlineStr">
        <is>
          <t>2026-09-25</t>
        </is>
      </c>
      <c r="D33" s="7" t="inlineStr">
        <is>
          <t>Charlie Cook</t>
        </is>
      </c>
      <c r="E33" s="7" t="inlineStr">
        <is>
          <t>Founder &amp; CEO</t>
        </is>
      </c>
      <c r="F33" s="7" t="inlineStr">
        <is>
          <t>Rightcharge</t>
        </is>
      </c>
      <c r="G33" s="7" t="inlineStr">
        <is>
          <t>UK</t>
        </is>
      </c>
      <c r="H33" s="7" t="inlineStr">
        <is>
          <t>London</t>
        </is>
      </c>
      <c r="I33" s="8" t="inlineStr">
        <is>
          <t>https://www.linkedin.com/in/charlie-cook-2088922b</t>
        </is>
      </c>
      <c r="J33" s="9" t="inlineStr">
        <is>
          <t>Yes</t>
        </is>
      </c>
      <c r="K33" s="7" t="inlineStr">
        <is>
          <t>GBP 500k after 20x ARR growth, to scale fleet EV charging payments across Europe; Visa recommended partner (Jul 2026)</t>
        </is>
      </c>
      <c r="L33" s="7" t="inlineStr">
        <is>
          <t>2026-09-03</t>
        </is>
      </c>
      <c r="M33" s="10" t="inlineStr">
        <is>
          <t>https://tech.eu/2026/09/03/rightcharge-raises-ps500k-to-scale-fleet-ev-charging-payments-across-europe</t>
        </is>
      </c>
      <c r="N33" s="7" t="inlineStr">
        <is>
          <t>Emerging writer</t>
        </is>
      </c>
      <c r="O33" s="7" t="inlineStr">
        <is>
          <t>2026-07</t>
        </is>
      </c>
      <c r="P33" s="7" t="inlineStr">
        <is>
          <t>Posts a few times a year with some humour: an April Fools 'former CEO resigns' post (1 Apr 2025), how his team uses AI (Jun 2025), Visa partnership (Jul 2026).</t>
        </is>
      </c>
      <c r="Q33" s="7" t="n">
        <v>50</v>
      </c>
      <c r="R33" s="7">
        <f>IF(Q33&gt;=60,"Priority",IF(Q33&gt;=40,"Warm","Nurture"))</f>
        <v/>
      </c>
      <c r="S33" s="7" t="inlineStr">
        <is>
          <t>Already has a voice and a sense of humour. The gap is cadence as he enters Europe.</t>
        </is>
      </c>
      <c r="T33" s="7" t="inlineStr">
        <is>
          <t>Hi Charlie, congrats on the raise and the Visa partnership.
Fleet charging payments is a real headache for operators.
Would be good to connect.</t>
        </is>
      </c>
      <c r="U33" s="7" t="inlineStr">
        <is>
          <t>Thanks for connecting, Charlie.
You've got a voice on LinkedIn, it just shows up a few times a year.
With Europe coming, is more regular posting worth it to you?</t>
        </is>
      </c>
      <c r="V33" s="7" t="inlineStr">
        <is>
          <t>Cadence; European fleet-manager audience; one recurring format.</t>
        </is>
      </c>
      <c r="W33" s="7" t="inlineStr">
        <is>
          <t>The 'resigns' post is an April Fools joke. He's still CEO.</t>
        </is>
      </c>
      <c r="X33" s="9" t="inlineStr">
        <is>
          <t>charlie.cook@rightcharge.co.uk</t>
        </is>
      </c>
      <c r="Y33" s="7" t="inlineStr">
        <is>
          <t>Rightcharge across Europe</t>
        </is>
      </c>
      <c r="Z33" s="7" t="inlineStr">
        <is>
          <t>Hi Charlie,
Congrats on the raise and the Visa partnership.
You've got a real voice on LinkedIn, humour included. It just shows up a few times a year, and European fleet managers don't know you yet.
We help founders keep a weekly rhythm in their own voice without it eating their week.
Open to a quick call?
Prabal
Gliped | LinkedIn personal branding for founders
Not relevant? Reply "no" and I won't follow up.</t>
        </is>
      </c>
      <c r="AA33" s="7" t="inlineStr">
        <is>
          <t>Verified</t>
        </is>
      </c>
      <c r="AB33" s="7" t="inlineStr">
        <is>
          <t>Prospeo SMTP</t>
        </is>
      </c>
    </row>
    <row r="34" ht="96" customHeight="1">
      <c r="A34" s="7" t="inlineStr">
        <is>
          <t>G033</t>
        </is>
      </c>
      <c r="B34" s="7" t="inlineStr">
        <is>
          <t>02</t>
        </is>
      </c>
      <c r="C34" s="7" t="inlineStr">
        <is>
          <t>2026-09-25</t>
        </is>
      </c>
      <c r="D34" s="7" t="inlineStr">
        <is>
          <t>Koji Muto</t>
        </is>
      </c>
      <c r="E34" s="7" t="inlineStr">
        <is>
          <t>Co-founder &amp; CEO</t>
        </is>
      </c>
      <c r="F34" s="7" t="inlineStr">
        <is>
          <t>Ki 13 (formerly Ki Hydrogen)</t>
        </is>
      </c>
      <c r="G34" s="7" t="inlineStr">
        <is>
          <t>UK</t>
        </is>
      </c>
      <c r="H34" s="7" t="inlineStr">
        <is>
          <t>London</t>
        </is>
      </c>
      <c r="I34" s="8" t="inlineStr">
        <is>
          <t>https://www.linkedin.com/in/kojimuto</t>
        </is>
      </c>
      <c r="J34" s="9" t="inlineStr">
        <is>
          <t>Yes</t>
        </is>
      </c>
      <c r="K34" s="7" t="inlineStr">
        <is>
          <t>$5M seed led by HICO, plus Innovate UK grants; rebranded to Ki 13 (Aug 2026)</t>
        </is>
      </c>
      <c r="L34" s="7" t="inlineStr">
        <is>
          <t>2026-09</t>
        </is>
      </c>
      <c r="M34" s="10" t="inlineStr">
        <is>
          <t>https://www.finsmes.com/2026/09/ki-13-raises-5m-in-seed-funding.html</t>
        </is>
      </c>
      <c r="N34" s="7" t="inlineStr">
        <is>
          <t>Milestone-only</t>
        </is>
      </c>
      <c r="O34" s="7" t="inlineStr">
        <is>
          <t>2026-08</t>
        </is>
      </c>
      <c r="P34" s="7" t="inlineStr">
        <is>
          <t>Business-plan competitions (2023), pitch video (21 comments), green hydrogen post (Apr 2024), rebrand (Aug 2026). Posts around milestones only.</t>
        </is>
      </c>
      <c r="Q34" s="7" t="n">
        <v>60</v>
      </c>
      <c r="R34" s="7">
        <f>IF(Q34&gt;=60,"Priority",IF(Q34&gt;=40,"Warm","Nurture"))</f>
        <v/>
      </c>
      <c r="S34" s="7" t="inlineStr">
        <is>
          <t>Deep climate tech with a new name. The rebrand needs a founder narrative to stick.</t>
        </is>
      </c>
      <c r="T34" s="7" t="inlineStr">
        <is>
          <t>Hi Koji, congrats on the seed and the new Ki 13 name.
Producing green hydrogen and biogenic CO2 together is a clever angle.
Would be good to connect.</t>
        </is>
      </c>
      <c r="U34" s="7" t="inlineStr">
        <is>
          <t>Thanks for connecting, Koji.
A rebrand plus a raise is a good moment to set the story.
Is your own LinkedIn part of how you want to do that?</t>
        </is>
      </c>
      <c r="V34" s="7" t="inlineStr">
        <is>
          <t>Headline still reads Ki Hydrogen (check); milestone-only cadence; explainer series.</t>
        </is>
      </c>
      <c r="W34" s="7" t="inlineStr"/>
      <c r="X34" s="9" t="inlineStr">
        <is>
          <t>koji@ki-hydrogen.com</t>
        </is>
      </c>
      <c r="Y34" s="7" t="inlineStr">
        <is>
          <t>Making Ki 13 stick</t>
        </is>
      </c>
      <c r="Z34" s="7" t="inlineStr">
        <is>
          <t>Hi Koji,
Congrats on the seed and the new Ki 13 name.
A rebrand only sticks when people hear the story behind it, and right now you post mainly at milestones.
We help deep-tech founders build a steady LinkedIn presence that explains the science and the ambition.
Worth 15 minutes to talk it through?
Prabal
Gliped | LinkedIn personal branding for founders
Not relevant? Reply "no" and I won't follow up.</t>
        </is>
      </c>
      <c r="AA34" s="7" t="inlineStr">
        <is>
          <t>Verified</t>
        </is>
      </c>
      <c r="AB34" s="7" t="inlineStr">
        <is>
          <t>Prospeo BOUNCEBAN Domain is the old Ki Hydrogen name; still verified</t>
        </is>
      </c>
    </row>
    <row r="35" ht="96" customHeight="1">
      <c r="A35" s="7" t="inlineStr">
        <is>
          <t>G034</t>
        </is>
      </c>
      <c r="B35" s="7" t="inlineStr">
        <is>
          <t>02</t>
        </is>
      </c>
      <c r="C35" s="7" t="inlineStr">
        <is>
          <t>2026-09-25</t>
        </is>
      </c>
      <c r="D35" s="7" t="inlineStr">
        <is>
          <t>Francisco Vigo</t>
        </is>
      </c>
      <c r="E35" s="7" t="inlineStr">
        <is>
          <t>Co-founder &amp; CEO</t>
        </is>
      </c>
      <c r="F35" s="7" t="inlineStr">
        <is>
          <t>geoSurge</t>
        </is>
      </c>
      <c r="G35" s="7" t="inlineStr">
        <is>
          <t>UK</t>
        </is>
      </c>
      <c r="H35" s="7" t="inlineStr">
        <is>
          <t>London</t>
        </is>
      </c>
      <c r="I35" s="8" t="inlineStr">
        <is>
          <t>https://www.linkedin.com/in/francisco-juan-vigo</t>
        </is>
      </c>
      <c r="J35" s="9" t="inlineStr">
        <is>
          <t>Yes</t>
        </is>
      </c>
      <c r="K35" s="7" t="inlineStr">
        <is>
          <t>$12M (EUR 10M) seed led by AlbionVC with Play Ventures</t>
        </is>
      </c>
      <c r="L35" s="7" t="inlineStr">
        <is>
          <t>2026-07-03</t>
        </is>
      </c>
      <c r="M35" s="10" t="inlineStr">
        <is>
          <t>https://www.uktech.news/ai/ai-search-visibility-startup-geosurge-scores-9-4m-round-20260703</t>
        </is>
      </c>
      <c r="N35" s="7" t="inlineStr">
        <is>
          <t>Company-page voice</t>
        </is>
      </c>
      <c r="O35" s="7" t="inlineStr">
        <is>
          <t>2025-12</t>
        </is>
      </c>
      <c r="P35" s="7" t="inlineStr">
        <is>
          <t>One own post indexed (Dec 2025, launch). The company page and London Stock Exchange's The Stage feature him (Feb to Mar 2026).</t>
        </is>
      </c>
      <c r="Q35" s="7" t="n">
        <v>50</v>
      </c>
      <c r="R35" s="7">
        <f>IF(Q35&gt;=60,"Priority",IF(Q35&gt;=40,"Warm","Nurture"))</f>
        <v/>
      </c>
      <c r="S35" s="7" t="inlineStr">
        <is>
          <t>geoSurge sells AI visibility. LinkedIn posts are one of the sources AI models cite, so his own visibility is on-message.</t>
        </is>
      </c>
      <c r="T35" s="7" t="inlineStr">
        <is>
          <t>Hi Francisco, congrats on the seed.
Helping brands see how AI models describe them is a real new need.
Would be good to connect.</t>
        </is>
      </c>
      <c r="U35" s="7" t="inlineStr">
        <is>
          <t>Thanks for connecting, Francisco.
Odd question for someone in AI visibility. How visible do you want to be yourself?
The company page is doing most of the talking.</t>
        </is>
      </c>
      <c r="V35" s="7" t="inlineStr">
        <is>
          <t>Company page vs founder feed; LinkedIn as an AI-citation source; weekly insight format.</t>
        </is>
      </c>
      <c r="W35" s="7" t="inlineStr"/>
      <c r="X35" s="9" t="inlineStr">
        <is>
          <t>francisco@geosurge.ai</t>
        </is>
      </c>
      <c r="Y35" s="7" t="inlineStr">
        <is>
          <t>Your own AI visibility</t>
        </is>
      </c>
      <c r="Z35" s="7" t="inlineStr">
        <is>
          <t>Hi Francisco,
Congrats on the seed.
Odd one for someone in AI visibility: LinkedIn posts are one of the sources AI models draw on, and right now the geoSurge company page does most of the talking.
We build founder brands on LinkedIn, so the founder shows up too.
Open to a quick call?
Prabal
Gliped | LinkedIn personal branding for founders
Not relevant? Reply "no" and I won't follow up.</t>
        </is>
      </c>
      <c r="AA35" s="7" t="inlineStr">
        <is>
          <t>Verified</t>
        </is>
      </c>
      <c r="AB35" s="7" t="inlineStr">
        <is>
          <t>Prospeo SMTP</t>
        </is>
      </c>
    </row>
    <row r="36" ht="96" customHeight="1">
      <c r="A36" s="7" t="inlineStr">
        <is>
          <t>G035</t>
        </is>
      </c>
      <c r="B36" s="7" t="inlineStr">
        <is>
          <t>02</t>
        </is>
      </c>
      <c r="C36" s="7" t="inlineStr">
        <is>
          <t>2026-09-25</t>
        </is>
      </c>
      <c r="D36" s="7" t="inlineStr">
        <is>
          <t>Callum Adamson</t>
        </is>
      </c>
      <c r="E36" s="7" t="inlineStr">
        <is>
          <t>Co-founder &amp; CEO</t>
        </is>
      </c>
      <c r="F36" s="7" t="inlineStr">
        <is>
          <t>Applied Computing</t>
        </is>
      </c>
      <c r="G36" s="7" t="inlineStr">
        <is>
          <t>UK</t>
        </is>
      </c>
      <c r="H36" s="7" t="inlineStr">
        <is>
          <t>London</t>
        </is>
      </c>
      <c r="I36" s="8" t="inlineStr">
        <is>
          <t>https://www.linkedin.com/in/callumadamson</t>
        </is>
      </c>
      <c r="J36" s="9" t="inlineStr">
        <is>
          <t>Yes</t>
        </is>
      </c>
      <c r="K36" s="7" t="inlineStr">
        <is>
          <t>About EUR 17.4M led by KBR with Databricks Ventures; Orbital foundation model for energy operators</t>
        </is>
      </c>
      <c r="L36" s="7" t="inlineStr">
        <is>
          <t>2026-07-15</t>
        </is>
      </c>
      <c r="M36" s="10" t="inlineStr">
        <is>
          <t>https://techcrunch.com/2026/07/15/applied-computing-wants-to-give-oil-and-gas-operators-an-ai-model-for-the-entire-plant/</t>
        </is>
      </c>
      <c r="N36" s="7" t="inlineStr">
        <is>
          <t>Went quiet</t>
        </is>
      </c>
      <c r="O36" s="7" t="inlineStr">
        <is>
          <t>2025-05</t>
        </is>
      </c>
      <c r="P36" s="7" t="inlineStr">
        <is>
          <t>Earlier career posts (Distributed, recruiting). A Fred Destin venture post (Nov 2024), an Applied Computing post (May 2025). The company page carries podcasts and Orbital since.</t>
        </is>
      </c>
      <c r="Q36" s="7" t="n">
        <v>50</v>
      </c>
      <c r="R36" s="7">
        <f>IF(Q36&gt;=60,"Priority",IF(Q36&gt;=40,"Warm","Nurture"))</f>
        <v/>
      </c>
      <c r="S36" s="7" t="inlineStr">
        <is>
          <t>Energy operators buy from people they trust. A CEO voice on AI in refining is rare and credible.</t>
        </is>
      </c>
      <c r="T36" s="7" t="inlineStr">
        <is>
          <t>Hi Callum, congrats on the round with KBR and Databricks.
A foundation model for a whole plant is a bold scope.
Would be good to connect.</t>
        </is>
      </c>
      <c r="U36" s="7" t="inlineStr">
        <is>
          <t>Thanks for connecting, Callum.
The Orbital story is mostly on the company page.
Is building your own voice with energy operators on the list?</t>
        </is>
      </c>
      <c r="V36" s="7" t="inlineStr">
        <is>
          <t>16-month gap; headline; operator-facing content line.</t>
        </is>
      </c>
      <c r="W36" s="7" t="inlineStr">
        <is>
          <t>Co-founder Dr Sam Tukra.</t>
        </is>
      </c>
      <c r="X36" s="9" t="inlineStr"/>
      <c r="Y36" s="7" t="inlineStr">
        <is>
          <t>Orbital, in your words</t>
        </is>
      </c>
      <c r="Z36" s="7" t="inlineStr">
        <is>
          <t>Hi Callum,
Congrats on the round with KBR and Databricks.
Energy operators buy from people they trust, and a CEO voice on AI in refining is rare. Right now Orbital's story lives on the company page.
We help founders build a steady LinkedIn presence aimed at operators.
Worth a 15-minute call?
Prabal
Gliped | LinkedIn personal branding for founders
Not relevant? Reply "no" and I won't follow up.</t>
        </is>
      </c>
      <c r="AA36" s="7" t="inlineStr">
        <is>
          <t>Not found</t>
        </is>
      </c>
      <c r="AB36" s="7" t="inlineStr"/>
    </row>
    <row r="37" ht="96" customHeight="1">
      <c r="A37" s="7" t="inlineStr">
        <is>
          <t>G036</t>
        </is>
      </c>
      <c r="B37" s="7" t="inlineStr">
        <is>
          <t>02</t>
        </is>
      </c>
      <c r="C37" s="7" t="inlineStr">
        <is>
          <t>2026-09-25</t>
        </is>
      </c>
      <c r="D37" s="7" t="inlineStr">
        <is>
          <t>Lestat McCree</t>
        </is>
      </c>
      <c r="E37" s="7" t="inlineStr">
        <is>
          <t>Co-founder &amp; CEO</t>
        </is>
      </c>
      <c r="F37" s="7" t="inlineStr">
        <is>
          <t>Healf</t>
        </is>
      </c>
      <c r="G37" s="7" t="inlineStr">
        <is>
          <t>UK</t>
        </is>
      </c>
      <c r="H37" s="7" t="inlineStr">
        <is>
          <t>London</t>
        </is>
      </c>
      <c r="I37" s="8" t="inlineStr">
        <is>
          <t>https://www.linkedin.com/in/lestatmccree</t>
        </is>
      </c>
      <c r="J37" s="9" t="inlineStr">
        <is>
          <t>Yes</t>
        </is>
      </c>
      <c r="K37" s="7" t="inlineStr">
        <is>
          <t>Funding led by SEMCAP Beauty &amp; Wellness; GBP 100M+ annualised revenue; expanding to Germany</t>
        </is>
      </c>
      <c r="L37" s="7" t="inlineStr">
        <is>
          <t>2026-08-31</t>
        </is>
      </c>
      <c r="M37" s="10" t="inlineStr">
        <is>
          <t>https://www.globenewswire.com/news-release/2026/08/31/3353334/0/en/semcap-beauty-wellness-leads-funding-round-for-healf.html</t>
        </is>
      </c>
      <c r="N37" s="7" t="inlineStr">
        <is>
          <t>Emerging writer</t>
        </is>
      </c>
      <c r="O37" s="7" t="inlineStr">
        <is>
          <t>2026-01</t>
        </is>
      </c>
      <c r="P37" s="7" t="inlineStr">
        <is>
          <t>Occasional essays (work-life balance, Jan 2026). A piece on AI adoption drew reaction posts from others (Jun 2026). Covered by The Times. Few own posts overall.</t>
        </is>
      </c>
      <c r="Q37" s="7" t="n">
        <v>50</v>
      </c>
      <c r="R37" s="7">
        <f>IF(Q37&gt;=60,"Priority",IF(Q37&gt;=40,"Warm","Nurture"))</f>
        <v/>
      </c>
      <c r="S37" s="7" t="inlineStr">
        <is>
          <t>He writes well when he writes. International expansion plus press momentum is the moment to post weekly.</t>
        </is>
      </c>
      <c r="T37" s="7" t="inlineStr">
        <is>
          <t>Hi Lestat, congrats on the round and the Germany launch.
GBP 100M with under 100 people is a remarkable ratio.
Would be good to connect.</t>
        </is>
      </c>
      <c r="U37" s="7" t="inlineStr">
        <is>
          <t>Thanks for connecting, Lestat.
Your AI adoption piece got people talking, but it's one of only a few posts.
Is a steadier cadence worth it to you now?</t>
        </is>
      </c>
      <c r="V37" s="7" t="inlineStr">
        <is>
          <t>Cadence; German market framing; recurring founder essay.</t>
        </is>
      </c>
      <c r="W37" s="7" t="inlineStr">
        <is>
          <t>Co-founder Max Clarke. Big brand, so expect a comms team.</t>
        </is>
      </c>
      <c r="X37" s="9" t="inlineStr">
        <is>
          <t>lestat@healf.com</t>
        </is>
      </c>
      <c r="Y37" s="7" t="inlineStr">
        <is>
          <t>Healf, week by week</t>
        </is>
      </c>
      <c r="Z37" s="7" t="inlineStr">
        <is>
          <t>Hi Lestat,
Congrats on the round and the Germany launch.
Your AI adoption piece got people talking, but it's one of only a few posts. With international growth and press momentum, a steady rhythm compounds.
We help founders keep a weekly LinkedIn presence in their own voice, alongside their comms team.
Open to a quick call?
Prabal
Gliped | LinkedIn personal branding for founders
Not relevant? Reply "no" and I won't follow up.</t>
        </is>
      </c>
      <c r="AA37" s="7" t="inlineStr">
        <is>
          <t>Verified</t>
        </is>
      </c>
      <c r="AB37" s="7" t="inlineStr">
        <is>
          <t>Prospeo SMTP</t>
        </is>
      </c>
    </row>
    <row r="38" ht="96" customHeight="1">
      <c r="A38" s="7" t="inlineStr">
        <is>
          <t>G037</t>
        </is>
      </c>
      <c r="B38" s="7" t="inlineStr">
        <is>
          <t>02</t>
        </is>
      </c>
      <c r="C38" s="7" t="inlineStr">
        <is>
          <t>2026-09-25</t>
        </is>
      </c>
      <c r="D38" s="7" t="inlineStr">
        <is>
          <t>Jon Steinback</t>
        </is>
      </c>
      <c r="E38" s="7" t="inlineStr">
        <is>
          <t>Co-founder &amp; CEO</t>
        </is>
      </c>
      <c r="F38" s="7" t="inlineStr">
        <is>
          <t>Marker</t>
        </is>
      </c>
      <c r="G38" s="7" t="inlineStr">
        <is>
          <t>UK</t>
        </is>
      </c>
      <c r="H38" s="7" t="inlineStr">
        <is>
          <t>London</t>
        </is>
      </c>
      <c r="I38" s="8" t="inlineStr">
        <is>
          <t>https://www.linkedin.com/in/itsmejon</t>
        </is>
      </c>
      <c r="J38" s="9" t="inlineStr">
        <is>
          <t>Yes</t>
        </is>
      </c>
      <c r="K38" s="7" t="inlineStr">
        <is>
          <t>$13M seed led by Index Ventures with LocalGlobe; AI-native word processor</t>
        </is>
      </c>
      <c r="L38" s="7" t="inlineStr">
        <is>
          <t>2026-07-09</t>
        </is>
      </c>
      <c r="M38" s="10" t="inlineStr">
        <is>
          <t>https://tech.eu/2026/07/09/ai-writing-startup-co-founded-by-deepmind-creative-lead-raises-13m-seed-investment/</t>
        </is>
      </c>
      <c r="N38" s="7" t="inlineStr">
        <is>
          <t>Already consistent</t>
        </is>
      </c>
      <c r="O38" s="7" t="inlineStr">
        <is>
          <t>2026-07</t>
        </is>
      </c>
      <c r="P38" s="7" t="inlineStr">
        <is>
          <t>Ex-DeepMind brand and creative lead. Launch posts (Apr and Jul 2026, 16 comments), 'AI writing app fighting AI slop' (Jul 2026). Writes his own posts.</t>
        </is>
      </c>
      <c r="Q38" s="7" t="n">
        <v>40</v>
      </c>
      <c r="R38" s="7">
        <f>IF(Q38&gt;=60,"Priority",IF(Q38&gt;=40,"Warm","Nurture"))</f>
        <v/>
      </c>
      <c r="S38" s="7" t="inlineStr">
        <is>
          <t>He won't want a ghostwriter. Pitch strategy, distribution and time back, not writing.</t>
        </is>
      </c>
      <c r="T38" s="7" t="inlineStr">
        <is>
          <t>Hi Jon, congrats on the Marker launch.
A word processor that writes with you, not for you, is a stance I agree with.
Would be good to connect.</t>
        </is>
      </c>
      <c r="U38" s="7" t="inlineStr">
        <is>
          <t>Thanks for connecting, Jon.
You clearly write your own posts, and should.
Curious whether distribution and cadence are the harder part right now?</t>
        </is>
      </c>
      <c r="V38" s="7" t="inlineStr">
        <is>
          <t>Distribution not writing; cadence; audience of writers vs buyers.</t>
        </is>
      </c>
      <c r="W38" s="7" t="inlineStr">
        <is>
          <t>Low fit for ghostwriting. Only pitch strategy.</t>
        </is>
      </c>
      <c r="X38" s="9" t="inlineStr">
        <is>
          <t>jon@marker.page</t>
        </is>
      </c>
      <c r="Y38" s="7" t="inlineStr">
        <is>
          <t>Distribution, not writing</t>
        </is>
      </c>
      <c r="Z38" s="7" t="inlineStr">
        <is>
          <t>Hi Jon,
Congrats on the Marker launch.
You write your own posts and should. For most writer-founders the harder part is distribution: cadence, formats and reaching buyers, not only other writers.
That's the part we can help with at Gliped, with you still doing the writing.
Worth a 15-minute chat?
Prabal
Gliped | LinkedIn personal branding for founders
Not relevant? Reply "no" and I won't follow up.</t>
        </is>
      </c>
      <c r="AA38" s="7" t="inlineStr">
        <is>
          <t>Verified</t>
        </is>
      </c>
      <c r="AB38" s="7" t="inlineStr">
        <is>
          <t>Prospeo SMTP</t>
        </is>
      </c>
    </row>
    <row r="39" ht="96" customHeight="1">
      <c r="A39" s="7" t="inlineStr">
        <is>
          <t>G038</t>
        </is>
      </c>
      <c r="B39" s="7" t="inlineStr">
        <is>
          <t>02</t>
        </is>
      </c>
      <c r="C39" s="7" t="inlineStr">
        <is>
          <t>2026-09-25</t>
        </is>
      </c>
      <c r="D39" s="7" t="inlineStr">
        <is>
          <t>Stephen Cowley</t>
        </is>
      </c>
      <c r="E39" s="7" t="inlineStr">
        <is>
          <t>Co-founder</t>
        </is>
      </c>
      <c r="F39" s="7" t="inlineStr">
        <is>
          <t>Pharosyn</t>
        </is>
      </c>
      <c r="G39" s="7" t="inlineStr">
        <is>
          <t>UK</t>
        </is>
      </c>
      <c r="H39" s="7" t="inlineStr">
        <is>
          <t>London</t>
        </is>
      </c>
      <c r="I39" s="8" t="inlineStr">
        <is>
          <t>https://www.linkedin.com/in/stephen-cowley-8960a0228</t>
        </is>
      </c>
      <c r="J39" s="9" t="inlineStr">
        <is>
          <t>Yes</t>
        </is>
      </c>
      <c r="K39" s="7" t="inlineStr">
        <is>
          <t>$3M (EUR 2.5M) seed led by Moonfire Ventures, with Entrepreneurs First</t>
        </is>
      </c>
      <c r="L39" s="7" t="inlineStr">
        <is>
          <t>2026-09-04</t>
        </is>
      </c>
      <c r="M39" s="10" t="inlineStr">
        <is>
          <t>https://www.eu-startups.com/2026/09/uk-startup-pharosyn-raises-e2-5-million-for-pharma-competitive-intelligence-platform</t>
        </is>
      </c>
      <c r="N39" s="7" t="inlineStr">
        <is>
          <t>Emerging writer</t>
        </is>
      </c>
      <c r="O39" s="7" t="inlineStr">
        <is>
          <t>2026-07</t>
        </is>
      </c>
      <c r="P39" s="7" t="inlineStr">
        <is>
          <t>Two customer-story posts (Jun and Jul 2026) about onboarding calls and report quality. New to posting.</t>
        </is>
      </c>
      <c r="Q39" s="7" t="n">
        <v>40</v>
      </c>
      <c r="R39" s="7">
        <f>IF(Q39&gt;=60,"Priority",IF(Q39&gt;=40,"Warm","Nurture"))</f>
        <v/>
      </c>
      <c r="S39" s="7" t="inlineStr">
        <is>
          <t>Pharma commercial teams are on LinkedIn. He's started posting customer stories; the gap is consistency.</t>
        </is>
      </c>
      <c r="T39" s="7" t="inlineStr">
        <is>
          <t>Hi Stephen, congrats on the seed.
Competitive intelligence built into pharma commercial teams is an underserved corner.
Would be good to connect.</t>
        </is>
      </c>
      <c r="U39" s="7" t="inlineStr">
        <is>
          <t>Thanks for connecting, Stephen.
You've started posting customer stories, which is the right instinct.
Is keeping that going every week realistic with everything else?</t>
        </is>
      </c>
      <c r="V39" s="7" t="inlineStr">
        <is>
          <t>Cadence; pharma buyer framing; customer-story series.</t>
        </is>
      </c>
      <c r="W39" s="7" t="inlineStr">
        <is>
          <t>Confirm who's CEO (Stephen or Joshua Hampson).</t>
        </is>
      </c>
      <c r="X39" s="9" t="inlineStr"/>
      <c r="Y39" s="7" t="inlineStr">
        <is>
          <t>Keeping it weekly</t>
        </is>
      </c>
      <c r="Z39" s="7" t="inlineStr">
        <is>
          <t>Hi Stephen,
Congrats on the seed.
You've started posting customer stories on LinkedIn, which is the right instinct for reaching pharma commercial teams. The hard part is keeping it going every week.
We help founders do exactly that, in their own voice.
Open to a quick call?
Prabal
Gliped | LinkedIn personal branding for founders
Not relevant? Reply "no" and I won't follow up.</t>
        </is>
      </c>
      <c r="AA39" s="7" t="inlineStr">
        <is>
          <t>Not found</t>
        </is>
      </c>
      <c r="AB39" s="7" t="inlineStr"/>
    </row>
    <row r="40" ht="96" customHeight="1">
      <c r="A40" s="7" t="inlineStr">
        <is>
          <t>G039</t>
        </is>
      </c>
      <c r="B40" s="7" t="inlineStr">
        <is>
          <t>02</t>
        </is>
      </c>
      <c r="C40" s="7" t="inlineStr">
        <is>
          <t>2026-09-25</t>
        </is>
      </c>
      <c r="D40" s="7" t="inlineStr">
        <is>
          <t>Steve Rimmer</t>
        </is>
      </c>
      <c r="E40" s="7" t="inlineStr">
        <is>
          <t>CEO</t>
        </is>
      </c>
      <c r="F40" s="7" t="inlineStr">
        <is>
          <t>Tickets for Good</t>
        </is>
      </c>
      <c r="G40" s="7" t="inlineStr">
        <is>
          <t>UK</t>
        </is>
      </c>
      <c r="H40" s="7" t="inlineStr"/>
      <c r="I40" s="8" t="inlineStr">
        <is>
          <t>https://www.linkedin.com/search/results/people/?keywords=Steve%20Rimmer%20Tickets%20for%20Good</t>
        </is>
      </c>
      <c r="J40" s="9" t="inlineStr">
        <is>
          <t>No</t>
        </is>
      </c>
      <c r="K40" s="7" t="inlineStr">
        <is>
          <t>GBP 3.9M new funding; platform giving NHS workers, teachers and charity staff access to surplus event tickets</t>
        </is>
      </c>
      <c r="L40" s="7" t="inlineStr">
        <is>
          <t>2026-09</t>
        </is>
      </c>
      <c r="M40" s="10" t="inlineStr">
        <is>
          <t>https://www.finsmes.com/2026/09/tickets-for-good-raises-3-9m-in-new-funding.html</t>
        </is>
      </c>
      <c r="N40" s="7" t="inlineStr">
        <is>
          <t>Not indexed</t>
        </is>
      </c>
      <c r="O40" s="7" t="inlineStr"/>
      <c r="P40" s="7" t="inlineStr">
        <is>
          <t>No confirmed own posts. A 2023 post about leaving a role may be his. The company page ran a founder interview (2025).</t>
        </is>
      </c>
      <c r="Q40" s="7" t="n">
        <v>50</v>
      </c>
      <c r="R40" s="7">
        <f>IF(Q40&gt;=60,"Priority",IF(Q40&gt;=40,"Warm","Nurture"))</f>
        <v/>
      </c>
      <c r="S40" s="7" t="inlineStr">
        <is>
          <t>A social-impact brand with a feel-good story. Partners (venues, promoters) and members respond to the founder.</t>
        </is>
      </c>
      <c r="T40" s="7" t="inlineStr">
        <is>
          <t>Hi Steve, congrats on the new funding.
Getting surplus tickets to key workers is a lovely model.
Would be good to connect.</t>
        </is>
      </c>
      <c r="U40" s="7" t="inlineStr">
        <is>
          <t>Thanks for connecting, Steve.
Tickets for Good has the kind of story people share.
Is your own LinkedIn part of how you tell it to venues and promoters?</t>
        </is>
      </c>
      <c r="V40" s="7" t="inlineStr">
        <is>
          <t>Confirm profile; impact stories series; partner-facing content.</t>
        </is>
      </c>
      <c r="W40" s="7" t="inlineStr">
        <is>
          <t>Confirm profile and whether he's the founder.</t>
        </is>
      </c>
      <c r="X40" s="9" t="inlineStr"/>
      <c r="Y40" s="7" t="inlineStr">
        <is>
          <t>Tickets for Good's story</t>
        </is>
      </c>
      <c r="Z40" s="7" t="inlineStr">
        <is>
          <t>Hi Steve,
Congrats on the new funding.
Getting surplus tickets to key workers is the kind of story people share, and venues and promoters respond to the person behind it.
We build founder brands on LinkedIn around stories like yours.
Worth a 15-minute call?
Prabal
Gliped | LinkedIn personal branding for founders
Not relevant? Reply "no" and I won't follow up.</t>
        </is>
      </c>
      <c r="AA40" s="7" t="inlineStr">
        <is>
          <t>Not found</t>
        </is>
      </c>
      <c r="AB40" s="7" t="inlineStr"/>
    </row>
    <row r="41" ht="96" customHeight="1">
      <c r="A41" s="7" t="inlineStr">
        <is>
          <t>G040</t>
        </is>
      </c>
      <c r="B41" s="7" t="inlineStr">
        <is>
          <t>02</t>
        </is>
      </c>
      <c r="C41" s="7" t="inlineStr">
        <is>
          <t>2026-09-25</t>
        </is>
      </c>
      <c r="D41" s="7" t="inlineStr">
        <is>
          <t>Ismaeel Bashir</t>
        </is>
      </c>
      <c r="E41" s="7" t="inlineStr">
        <is>
          <t>Co-founder &amp; CEO</t>
        </is>
      </c>
      <c r="F41" s="7" t="inlineStr">
        <is>
          <t>Expanse</t>
        </is>
      </c>
      <c r="G41" s="7" t="inlineStr">
        <is>
          <t>UK</t>
        </is>
      </c>
      <c r="H41" s="7" t="inlineStr">
        <is>
          <t>London / US</t>
        </is>
      </c>
      <c r="I41" s="8" t="inlineStr">
        <is>
          <t>https://www.linkedin.com/search/results/people/?keywords=Ismaeel%20Bashir%20Expanse</t>
        </is>
      </c>
      <c r="J41" s="9" t="inlineStr">
        <is>
          <t>No</t>
        </is>
      </c>
      <c r="K41" s="7" t="inlineStr">
        <is>
          <t>EUR 4.5M for a predictive AI infrastructure platform</t>
        </is>
      </c>
      <c r="L41" s="7" t="inlineStr">
        <is>
          <t>2026-09</t>
        </is>
      </c>
      <c r="M41" s="10" t="inlineStr">
        <is>
          <t>https://www.eu-startups.com/2026/09/u-s-and-u-k-based-expanse-raises-e4-5-million-for-predictive-ai-infrastructure-platform</t>
        </is>
      </c>
      <c r="N41" s="7" t="inlineStr">
        <is>
          <t>Not indexed</t>
        </is>
      </c>
      <c r="O41" s="7" t="inlineStr"/>
      <c r="P41" s="7" t="inlineStr">
        <is>
          <t>No own posts indexed.</t>
        </is>
      </c>
      <c r="Q41" s="7" t="n">
        <v>50</v>
      </c>
      <c r="R41" s="7">
        <f>IF(Q41&gt;=60,"Priority",IF(Q41&gt;=40,"Warm","Nurture"))</f>
        <v/>
      </c>
      <c r="S41" s="7" t="inlineStr">
        <is>
          <t>AI infrastructure is noisy. A founder with a clear point of view stands out to buyers and hires in both markets.</t>
        </is>
      </c>
      <c r="T41" s="7" t="inlineStr">
        <is>
          <t>Hi Ismaeel, congrats on the raise.
Predictive AI infrastructure is a busy space. Following Expanse.
Would be good to connect.</t>
        </is>
      </c>
      <c r="U41" s="7" t="inlineStr">
        <is>
          <t>Thanks for connecting, Ismaeel.
With teams in the UK and US, is LinkedIn part of how you want buyers on both sides to know you?</t>
        </is>
      </c>
      <c r="V41" s="7" t="inlineStr">
        <is>
          <t>Confirm profile; point-of-view content line; dual-market framing.</t>
        </is>
      </c>
      <c r="W41" s="7" t="inlineStr">
        <is>
          <t>Confirm profile and base (UK or US).</t>
        </is>
      </c>
      <c r="X41" s="9" t="inlineStr"/>
      <c r="Y41" s="7" t="inlineStr">
        <is>
          <t>Expanse on both sides</t>
        </is>
      </c>
      <c r="Z41" s="7" t="inlineStr">
        <is>
          <t>Hi Ismaeel,
Congrats on the raise.
AI infrastructure is noisy, and with teams in the UK and US you need buyers on both sides to recognise you. A clear founder point of view on LinkedIn does that.
We build founder brands on LinkedIn, from positioning to weekly posts.
Open to a quick call?
Prabal
Gliped | LinkedIn personal branding for founders
Not relevant? Reply "no" and I won't follow up.</t>
        </is>
      </c>
      <c r="AA41" s="7" t="inlineStr">
        <is>
          <t>Not found</t>
        </is>
      </c>
      <c r="AB41" s="7" t="inlineStr"/>
    </row>
    <row r="42" ht="96" customHeight="1">
      <c r="A42" s="7" t="inlineStr">
        <is>
          <t>G041</t>
        </is>
      </c>
      <c r="B42" s="7" t="inlineStr">
        <is>
          <t>02</t>
        </is>
      </c>
      <c r="C42" s="7" t="inlineStr">
        <is>
          <t>2026-09-25</t>
        </is>
      </c>
      <c r="D42" s="7" t="inlineStr">
        <is>
          <t>Jason Liao</t>
        </is>
      </c>
      <c r="E42" s="7" t="inlineStr">
        <is>
          <t>Co-founder &amp; CEO</t>
        </is>
      </c>
      <c r="F42" s="7" t="inlineStr">
        <is>
          <t>Mundo AI</t>
        </is>
      </c>
      <c r="G42" s="7" t="inlineStr">
        <is>
          <t>Canada</t>
        </is>
      </c>
      <c r="H42" s="7" t="inlineStr">
        <is>
          <t>Vancouver</t>
        </is>
      </c>
      <c r="I42" s="8" t="inlineStr">
        <is>
          <t>https://www.linkedin.com/search/results/people/?keywords=Jason%20Liao%20Mundo%20AI</t>
        </is>
      </c>
      <c r="J42" s="9" t="inlineStr">
        <is>
          <t>No</t>
        </is>
      </c>
      <c r="K42" s="7" t="inlineStr">
        <is>
          <t>$20M Series A led by GreatPoint Ventures plus a $4M seed; YC; data for AI perception (audio, video)</t>
        </is>
      </c>
      <c r="L42" s="7" t="inlineStr">
        <is>
          <t>2026-09-02</t>
        </is>
      </c>
      <c r="M42" s="10" t="inlineStr">
        <is>
          <t>https://betakit.com/mundo-announces-24-million-usd-to-help-tackle-ais-next-frontier/</t>
        </is>
      </c>
      <c r="N42" s="7" t="inlineStr">
        <is>
          <t>Not indexed</t>
        </is>
      </c>
      <c r="O42" s="7" t="inlineStr"/>
      <c r="P42" s="7" t="inlineStr">
        <is>
          <t>No own posts indexed. Co-founder Garreth Lee posted the founding news (Feb 2025).</t>
        </is>
      </c>
      <c r="Q42" s="7" t="n">
        <v>50</v>
      </c>
      <c r="R42" s="7">
        <f>IF(Q42&gt;=60,"Priority",IF(Q42&gt;=40,"Warm","Nurture"))</f>
        <v/>
      </c>
      <c r="S42" s="7" t="inlineStr">
        <is>
          <t>AI data infrastructure buyers (labs, model teams) need to trust the team. A CEO voice on perception data is thin in the market.</t>
        </is>
      </c>
      <c r="T42" s="7" t="inlineStr">
        <is>
          <t>Hi Jason, congrats on the Series A.
Training data for AI beyond text is where a lot of the next gains are.
Would be good to connect.</t>
        </is>
      </c>
      <c r="U42" s="7" t="inlineStr">
        <is>
          <t>Thanks for connecting, Jason.
Most of Mundo's story online comes from your co-founders or press.
Is your own voice something you want to build now?</t>
        </is>
      </c>
      <c r="V42" s="7" t="inlineStr">
        <is>
          <t>Confirm profile; research-to-buyer content line; hiring angle.</t>
        </is>
      </c>
      <c r="W42" s="7" t="inlineStr">
        <is>
          <t>Confirm profile.</t>
        </is>
      </c>
      <c r="X42" s="9" t="inlineStr"/>
      <c r="Y42" s="7" t="inlineStr">
        <is>
          <t>Mundo's founder voice</t>
        </is>
      </c>
      <c r="Z42" s="7" t="inlineStr">
        <is>
          <t>Hi Jason,
Congrats on the Series A.
Most of Mundo's story online comes from press and your co-founders. Model teams and top researchers want to hear from the CEO too.
We build founder brands on LinkedIn for technical founders, aimed at buyers and hires.
Worth a 15-minute call?
Prabal
Gliped | LinkedIn personal branding for founders
Not relevant? Reply "no" and I won't follow up.</t>
        </is>
      </c>
      <c r="AA42" s="7" t="inlineStr">
        <is>
          <t>Not found</t>
        </is>
      </c>
      <c r="AB42" s="7" t="inlineStr"/>
    </row>
    <row r="43" ht="96" customHeight="1">
      <c r="A43" s="7" t="inlineStr">
        <is>
          <t>G042</t>
        </is>
      </c>
      <c r="B43" s="7" t="inlineStr">
        <is>
          <t>02</t>
        </is>
      </c>
      <c r="C43" s="7" t="inlineStr">
        <is>
          <t>2026-09-25</t>
        </is>
      </c>
      <c r="D43" s="7" t="inlineStr">
        <is>
          <t>David S. Bennahum</t>
        </is>
      </c>
      <c r="E43" s="7" t="inlineStr">
        <is>
          <t>Co-founder &amp; CEO</t>
        </is>
      </c>
      <c r="F43" s="7" t="inlineStr">
        <is>
          <t>Onix</t>
        </is>
      </c>
      <c r="G43" s="7" t="inlineStr">
        <is>
          <t>Canada</t>
        </is>
      </c>
      <c r="H43" s="7" t="inlineStr">
        <is>
          <t>Montreal</t>
        </is>
      </c>
      <c r="I43" s="8" t="inlineStr">
        <is>
          <t>https://www.linkedin.com/in/dbennahum</t>
        </is>
      </c>
      <c r="J43" s="9" t="inlineStr">
        <is>
          <t>Yes</t>
        </is>
      </c>
      <c r="K43" s="7" t="inlineStr">
        <is>
          <t>$5M pre-seed led by Alpha Edison; AI versions of health and wellness experts</t>
        </is>
      </c>
      <c r="L43" s="7" t="inlineStr">
        <is>
          <t>2026-09-10</t>
        </is>
      </c>
      <c r="M43" s="10" t="inlineStr">
        <is>
          <t>https://betakit.com/onix-raises-5-million-usd-to-create-ai-library-of-health-and-wellness-experts/</t>
        </is>
      </c>
      <c r="N43" s="7" t="inlineStr">
        <is>
          <t>Emerging writer</t>
        </is>
      </c>
      <c r="O43" s="7" t="inlineStr">
        <is>
          <t>2025-09</t>
        </is>
      </c>
      <c r="P43" s="7" t="inlineStr">
        <is>
          <t>Posts every few months (gaming, Web3, NotebookLM, a Delaware court post, Onix launch Sep 2025). Former WIRED contributing editor.</t>
        </is>
      </c>
      <c r="Q43" s="7" t="n">
        <v>40</v>
      </c>
      <c r="R43" s="7">
        <f>IF(Q43&gt;=60,"Priority",IF(Q43&gt;=40,"Warm","Nurture"))</f>
        <v/>
      </c>
      <c r="S43" s="7" t="inlineStr">
        <is>
          <t>He can write. His product is built on experts' voices, so a strong founder voice fits. Pitch cadence and strategy.</t>
        </is>
      </c>
      <c r="T43" s="7" t="inlineStr">
        <is>
          <t>Hi David, congrats on the pre-seed.
AI built on licensed expert knowledge instead of the average internet is a clear stance.
Would be good to connect.</t>
        </is>
      </c>
      <c r="U43" s="7" t="inlineStr">
        <is>
          <t>Thanks for connecting, David.
Onix is built on experts owning their voice. Yours shows up every few months.
Is a steadier cadence worth it with the raise done?</t>
        </is>
      </c>
      <c r="V43" s="7" t="inlineStr">
        <is>
          <t>Cadence; Onix positioning in headline; expert-partner content.</t>
        </is>
      </c>
      <c r="W43" s="7" t="inlineStr">
        <is>
          <t>Writer himself, so pitch strategy over ghostwriting.</t>
        </is>
      </c>
      <c r="X43" s="9" t="inlineStr">
        <is>
          <t>david@onixai.ai</t>
        </is>
      </c>
      <c r="Y43" s="7" t="inlineStr">
        <is>
          <t>Onix and your voice</t>
        </is>
      </c>
      <c r="Z43" s="7" t="inlineStr">
        <is>
          <t>Hi David,
Congrats on the pre-seed.
Onix is built on experts owning their voice. Yours shows up on LinkedIn every few months.
You can clearly write, so this isn't about ghostwriting. We help founders with cadence, formats and distribution.
Open to a quick call?
Prabal
Gliped | LinkedIn personal branding for founders
Not relevant? Reply "no" and I won't follow up.</t>
        </is>
      </c>
      <c r="AA43" s="7" t="inlineStr">
        <is>
          <t>Verified</t>
        </is>
      </c>
      <c r="AB43" s="7" t="inlineStr">
        <is>
          <t>Prospeo SMTP Prospeo lists Onix HQ as Montreal (sheet says Ottawa)</t>
        </is>
      </c>
    </row>
    <row r="44" ht="96" customHeight="1">
      <c r="A44" s="7" t="inlineStr">
        <is>
          <t>G043</t>
        </is>
      </c>
      <c r="B44" s="7" t="inlineStr">
        <is>
          <t>02</t>
        </is>
      </c>
      <c r="C44" s="7" t="inlineStr">
        <is>
          <t>2026-09-25</t>
        </is>
      </c>
      <c r="D44" s="7" t="inlineStr">
        <is>
          <t>Kyle Braatz</t>
        </is>
      </c>
      <c r="E44" s="7" t="inlineStr">
        <is>
          <t>Co-founder &amp; CEO</t>
        </is>
      </c>
      <c r="F44" s="7" t="inlineStr">
        <is>
          <t>Fullscript</t>
        </is>
      </c>
      <c r="G44" s="7" t="inlineStr">
        <is>
          <t>Canada</t>
        </is>
      </c>
      <c r="H44" s="7" t="inlineStr">
        <is>
          <t>Ottawa</t>
        </is>
      </c>
      <c r="I44" s="8" t="inlineStr">
        <is>
          <t>https://www.linkedin.com/in/braatzy</t>
        </is>
      </c>
      <c r="J44" s="9" t="inlineStr">
        <is>
          <t>Yes</t>
        </is>
      </c>
      <c r="K44" s="7" t="inlineStr">
        <is>
          <t>Investment from L Catterton and Altas Partners</t>
        </is>
      </c>
      <c r="L44" s="7" t="inlineStr">
        <is>
          <t>2026-09</t>
        </is>
      </c>
      <c r="M44" s="10" t="inlineStr">
        <is>
          <t>https://www.finsmes.com/2026/09/fullscript-receives-investment.html</t>
        </is>
      </c>
      <c r="N44" s="7" t="inlineStr">
        <is>
          <t>Company-news voice</t>
        </is>
      </c>
      <c r="O44" s="7" t="inlineStr">
        <is>
          <t>2026-02</t>
        </is>
      </c>
      <c r="P44" s="7" t="inlineStr">
        <is>
          <t>Posts two to four times a year: labs launch, Fullscript Wrapped, engineering 'Builder's Corner' (Feb 2026), the $300M raise (2021, 43 comments). Ottawa CEO of the Year 2022.</t>
        </is>
      </c>
      <c r="Q44" s="7" t="n">
        <v>50</v>
      </c>
      <c r="R44" s="7">
        <f>IF(Q44&gt;=60,"Priority",IF(Q44&gt;=40,"Warm","Nurture"))</f>
        <v/>
      </c>
      <c r="S44" s="7" t="inlineStr">
        <is>
          <t>Large company with a practitioner audience. A CEO point of view on integrative health would lift a company-news feed.</t>
        </is>
      </c>
      <c r="T44" s="7" t="inlineStr">
        <is>
          <t>Hi Kyle, congrats on the L Catterton and Altas investment.
Fullscript's growth out of Ottawa has been fun to follow.
Would be good to connect.</t>
        </is>
      </c>
      <c r="U44" s="7" t="inlineStr">
        <is>
          <t>Thanks for connecting, Kyle.
Your feed is mostly Fullscript updates.
Is a stronger personal point of view something you'd want now?</t>
        </is>
      </c>
      <c r="V44" s="7" t="inlineStr">
        <is>
          <t>Company-news only; practitioner-facing content line; cadence.</t>
        </is>
      </c>
      <c r="W44" s="7" t="inlineStr">
        <is>
          <t>Likely has an in-house comms team. Pitch executive content support.</t>
        </is>
      </c>
      <c r="X44" s="9" t="inlineStr">
        <is>
          <t>kyle.braatz@fullscript.com</t>
        </is>
      </c>
      <c r="Y44" s="7" t="inlineStr">
        <is>
          <t>Fullscript's CEO voice</t>
        </is>
      </c>
      <c r="Z44" s="7" t="inlineStr">
        <is>
          <t>Hi Kyle,
Congrats on the L Catterton and Altas investment.
Your LinkedIn is mostly Fullscript updates. Practitioners and partners would follow a stronger CEO point of view on where integrative health is going.
We support executive LinkedIn presence alongside in-house comms teams.
Worth a 15-minute call?
Prabal
Gliped | LinkedIn personal branding for founders
Not relevant? Reply "no" and I won't follow up.</t>
        </is>
      </c>
      <c r="AA44" s="7" t="inlineStr">
        <is>
          <t>Verified</t>
        </is>
      </c>
      <c r="AB44" s="7" t="inlineStr">
        <is>
          <t>Prospeo BOUNCEBAN</t>
        </is>
      </c>
    </row>
    <row r="45" ht="96" customHeight="1">
      <c r="A45" s="7" t="inlineStr">
        <is>
          <t>G044</t>
        </is>
      </c>
      <c r="B45" s="7" t="inlineStr">
        <is>
          <t>02</t>
        </is>
      </c>
      <c r="C45" s="7" t="inlineStr">
        <is>
          <t>2026-09-25</t>
        </is>
      </c>
      <c r="D45" s="7" t="inlineStr">
        <is>
          <t>LP Maurice</t>
        </is>
      </c>
      <c r="E45" s="7" t="inlineStr">
        <is>
          <t>Co-founder &amp; CEO</t>
        </is>
      </c>
      <c r="F45" s="7" t="inlineStr">
        <is>
          <t>Busbud / Terra Mobility</t>
        </is>
      </c>
      <c r="G45" s="7" t="inlineStr">
        <is>
          <t>Canada</t>
        </is>
      </c>
      <c r="H45" s="7" t="inlineStr">
        <is>
          <t>Montreal</t>
        </is>
      </c>
      <c r="I45" s="8" t="inlineStr">
        <is>
          <t>https://www.linkedin.com/in/lmaurice</t>
        </is>
      </c>
      <c r="J45" s="9" t="inlineStr">
        <is>
          <t>Yes</t>
        </is>
      </c>
      <c r="K45" s="7" t="inlineStr">
        <is>
          <t>US$40M financing from Vista Credit Partners and launch of parent company Terra Mobility</t>
        </is>
      </c>
      <c r="L45" s="7" t="inlineStr">
        <is>
          <t>2026-08</t>
        </is>
      </c>
      <c r="M45" s="10" t="inlineStr">
        <is>
          <t>https://www.finsmes.com/2026/08/busbud-raises-40m-in-funding.html</t>
        </is>
      </c>
      <c r="N45" s="7" t="inlineStr">
        <is>
          <t>Went quiet</t>
        </is>
      </c>
      <c r="O45" s="7" t="inlineStr">
        <is>
          <t>2024-05</t>
        </is>
      </c>
      <c r="P45" s="7" t="inlineStr">
        <is>
          <t>Strong engagement when he posts: $11M raise (60 comments), LatAm (64 comments), Betterez deal, Africa B2B (May 2024). Nothing indexed since.</t>
        </is>
      </c>
      <c r="Q45" s="7" t="n">
        <v>60</v>
      </c>
      <c r="R45" s="7">
        <f>IF(Q45&gt;=60,"Priority",IF(Q45&gt;=40,"Warm","Nurture"))</f>
        <v/>
      </c>
      <c r="S45" s="7" t="inlineStr">
        <is>
          <t>He knows posting works. A new parent company is the moment to restart.</t>
        </is>
      </c>
      <c r="T45" s="7" t="inlineStr">
        <is>
          <t>Hi LP, congrats on the financing and the Terra Mobility launch.
Busbud's reach into LatAm and Africa is impressive.
Would be good to connect.</t>
        </is>
      </c>
      <c r="U45" s="7" t="inlineStr">
        <is>
          <t>Thanks for connecting, LP.
Your LatAm and Africa posts got real engagement, then things went quiet.
With Terra Mobility launching, is restarting on the list?</t>
        </is>
      </c>
      <c r="V45" s="7" t="inlineStr">
        <is>
          <t>Two-year gap; Terra Mobility not in headline (check); global mobility content line.</t>
        </is>
      </c>
      <c r="W45" s="7" t="inlineStr">
        <is>
          <t>Montreal. Offer French.</t>
        </is>
      </c>
      <c r="X45" s="9" t="inlineStr"/>
      <c r="Y45" s="7" t="inlineStr">
        <is>
          <t>Terra Mobility, restarted</t>
        </is>
      </c>
      <c r="Z45" s="7" t="inlineStr">
        <is>
          <t>Hi LP,
Congrats on the financing and the Terra Mobility launch.
Your LatAm and Africa posts drew 60+ comments, then your LinkedIn went quiet in 2024. A new parent company is the moment to restart.
We help founders get back to a steady rhythm without writing every post themselves.
Open to a quick call?
Prabal
Gliped | LinkedIn personal branding for founders
Not relevant? Reply "no" and I won't follow up.</t>
        </is>
      </c>
      <c r="AA45" s="7" t="inlineStr">
        <is>
          <t>Not found</t>
        </is>
      </c>
      <c r="AB45" s="7" t="inlineStr"/>
    </row>
    <row r="46" ht="96" customHeight="1">
      <c r="A46" s="7" t="inlineStr">
        <is>
          <t>G045</t>
        </is>
      </c>
      <c r="B46" s="7" t="inlineStr">
        <is>
          <t>02</t>
        </is>
      </c>
      <c r="C46" s="7" t="inlineStr">
        <is>
          <t>2026-09-25</t>
        </is>
      </c>
      <c r="D46" s="7" t="inlineStr">
        <is>
          <t>Stéphane Garneau</t>
        </is>
      </c>
      <c r="E46" s="7" t="inlineStr">
        <is>
          <t>President &amp; CEO</t>
        </is>
      </c>
      <c r="F46" s="7" t="inlineStr">
        <is>
          <t>Micrologic</t>
        </is>
      </c>
      <c r="G46" s="7" t="inlineStr">
        <is>
          <t>Canada</t>
        </is>
      </c>
      <c r="H46" s="7" t="inlineStr">
        <is>
          <t>Québec City</t>
        </is>
      </c>
      <c r="I46" s="8" t="inlineStr">
        <is>
          <t>https://www.linkedin.com/in/sgarneau</t>
        </is>
      </c>
      <c r="J46" s="9" t="inlineStr">
        <is>
          <t>Yes</t>
        </is>
      </c>
      <c r="K46" s="7" t="inlineStr">
        <is>
          <t>$45M from Fonds de solidarité FTQ and Investissement Québec for sovereign cloud services</t>
        </is>
      </c>
      <c r="L46" s="7" t="inlineStr">
        <is>
          <t>2026</t>
        </is>
      </c>
      <c r="M46" s="10" t="inlineStr">
        <is>
          <t>https://betakit.com/micrologic-raises-45-million-for-sovereign-cloud-services/</t>
        </is>
      </c>
      <c r="N46" s="7" t="inlineStr">
        <is>
          <t>Went quiet</t>
        </is>
      </c>
      <c r="O46" s="7" t="inlineStr">
        <is>
          <t>2024-05</t>
        </is>
      </c>
      <c r="P46" s="7" t="inlineStr">
        <is>
          <t>Posts in French on sovereign cloud, culture and HR (2022 to 2024), a 2023 year-in-review, CEO of the Year 2023. Nothing indexed since May 2024.</t>
        </is>
      </c>
      <c r="Q46" s="7" t="n">
        <v>50</v>
      </c>
      <c r="R46" s="7">
        <f>IF(Q46&gt;=60,"Priority",IF(Q46&gt;=40,"Warm","Nurture"))</f>
        <v/>
      </c>
      <c r="S46" s="7" t="inlineStr">
        <is>
          <t>Sovereign cloud is a live policy topic. A CEO voice in French and English positions Micrologic with public-sector buyers.</t>
        </is>
      </c>
      <c r="T46" s="7" t="inlineStr">
        <is>
          <t>Bonjour Stéphane, félicitations pour le financement.
Le cloud souverain est un sujet de plus en plus important.
Au plaisir d'échanger.</t>
        </is>
      </c>
      <c r="U46" s="7" t="inlineStr">
        <is>
          <t>Merci pour la connexion, Stéphane.
Vous publiiez régulièrement sur le cloud souverain, puis plus rien depuis 2024.
Est-ce que reprendre fait partie des plans?</t>
        </is>
      </c>
      <c r="V46" s="7" t="inlineStr">
        <is>
          <t>Two-year gap; bilingual content; public-sector buyer framing.</t>
        </is>
      </c>
      <c r="W46" s="7" t="inlineStr">
        <is>
          <t>Confirm the funding date before sending. Write in French.</t>
        </is>
      </c>
      <c r="X46" s="9" t="inlineStr">
        <is>
          <t>sgarneau@micrologic.ca</t>
        </is>
      </c>
      <c r="Y46" s="7" t="inlineStr">
        <is>
          <t>Micrologic et le cloud souverain</t>
        </is>
      </c>
      <c r="Z46" s="7" t="inlineStr">
        <is>
          <t>Bonjour Stéphane,
Félicitations pour le financement.
Le cloud souverain est un sujet d'actualité, et vous publiiez régulièrement là-dessus jusqu'en 2024. Une voix de PDG, en français et en anglais, positionne Micrologic auprès des acheteurs publics.
Chez Gliped, nous bâtissons la présence LinkedIn des dirigeants.
Un appel de 15 minutes la semaine prochaine?
Prabal
Gliped | Personal branding LinkedIn pour dirigeants
Pas pertinent? Répondez « non » et je ne vous relancerai pas.</t>
        </is>
      </c>
      <c r="AA46" s="7" t="inlineStr">
        <is>
          <t>Verified</t>
        </is>
      </c>
      <c r="AB46" s="7" t="inlineStr">
        <is>
          <t>Prospeo SMTP Prospeo places Micrologic in Québec City (sheet says Montreal)</t>
        </is>
      </c>
    </row>
    <row r="47" ht="96" customHeight="1">
      <c r="A47" s="7" t="inlineStr">
        <is>
          <t>G046</t>
        </is>
      </c>
      <c r="B47" s="7" t="inlineStr">
        <is>
          <t>02</t>
        </is>
      </c>
      <c r="C47" s="7" t="inlineStr">
        <is>
          <t>2026-09-25</t>
        </is>
      </c>
      <c r="D47" s="7" t="inlineStr">
        <is>
          <t>Sanja Fidler</t>
        </is>
      </c>
      <c r="E47" s="7" t="inlineStr">
        <is>
          <t>Co-founder &amp; CEO</t>
        </is>
      </c>
      <c r="F47" s="7" t="inlineStr">
        <is>
          <t>Veeda AI</t>
        </is>
      </c>
      <c r="G47" s="7" t="inlineStr">
        <is>
          <t>Canada</t>
        </is>
      </c>
      <c r="H47" s="7" t="inlineStr">
        <is>
          <t>Toronto</t>
        </is>
      </c>
      <c r="I47" s="8" t="inlineStr">
        <is>
          <t>https://www.linkedin.com/in/sanja-fidler-2846a1a</t>
        </is>
      </c>
      <c r="J47" s="9" t="inlineStr">
        <is>
          <t>Yes</t>
        </is>
      </c>
      <c r="K47" s="7" t="inlineStr">
        <is>
          <t>$90M+ seed from Khosla Ventures and Radical Ventures; left NVIDIA (VP AI research) to found Veeda</t>
        </is>
      </c>
      <c r="L47" s="7" t="inlineStr">
        <is>
          <t>2026-08</t>
        </is>
      </c>
      <c r="M47" s="10" t="inlineStr">
        <is>
          <t>https://www.finsmes.com/2026/08/veeda-innovation-raises-over-90m-in-seed-funding.html</t>
        </is>
      </c>
      <c r="N47" s="7" t="inlineStr">
        <is>
          <t>Research voice</t>
        </is>
      </c>
      <c r="O47" s="7" t="inlineStr">
        <is>
          <t>2025-12</t>
        </is>
      </c>
      <c r="P47" s="7" t="inlineStr">
        <is>
          <t>Posts research releases from NVIDIA a few times a year (40 comments on one in Sep 2025). Last indexed Dec 2025, before Veeda.</t>
        </is>
      </c>
      <c r="Q47" s="7" t="n">
        <v>50</v>
      </c>
      <c r="R47" s="7">
        <f>IF(Q47&gt;=60,"Priority",IF(Q47&gt;=40,"Warm","Nurture"))</f>
        <v/>
      </c>
      <c r="S47" s="7" t="inlineStr">
        <is>
          <t>From NVIDIA researcher to founder. Hiring world-class researchers depends on her voice.</t>
        </is>
      </c>
      <c r="T47" s="7" t="inlineStr">
        <is>
          <t>Hi Sanja, congrats on launching Veeda.
World models for physical reality is a big bet with the right team behind it.
Would be good to connect.</t>
        </is>
      </c>
      <c r="U47" s="7" t="inlineStr">
        <is>
          <t>Thanks for connecting, Sanja.
Your feed has been NVIDIA research. Veeda is a new story.
Is your LinkedIn part of how you want to recruit for it?</t>
        </is>
      </c>
      <c r="V47" s="7" t="inlineStr">
        <is>
          <t>Headline and feed still NVIDIA (check); founder narrative; research hiring content.</t>
        </is>
      </c>
      <c r="W47" s="7" t="inlineStr">
        <is>
          <t>High profile. Low odds, high value.</t>
        </is>
      </c>
      <c r="X47" s="9" t="inlineStr"/>
      <c r="Y47" s="7" t="inlineStr">
        <is>
          <t>Veeda, from NVIDIA</t>
        </is>
      </c>
      <c r="Z47" s="7" t="inlineStr">
        <is>
          <t>Hi Sanja,
Congrats on launching Veeda.
Your LinkedIn has been NVIDIA research. Veeda is a new story, and the researchers you want to hire will look for it in your feed.
We help technical founders build a founder narrative on LinkedIn without pulling them away from the work.
Worth a short call?
Prabal
Gliped | LinkedIn personal branding for founders
Not relevant? Reply "no" and I won't follow up.</t>
        </is>
      </c>
      <c r="AA47" s="7" t="inlineStr">
        <is>
          <t>Not found</t>
        </is>
      </c>
      <c r="AB47" s="7" t="inlineStr"/>
    </row>
    <row r="48" ht="96" customHeight="1">
      <c r="A48" s="7" t="inlineStr">
        <is>
          <t>G047</t>
        </is>
      </c>
      <c r="B48" s="7" t="inlineStr">
        <is>
          <t>02</t>
        </is>
      </c>
      <c r="C48" s="7" t="inlineStr">
        <is>
          <t>2026-09-25</t>
        </is>
      </c>
      <c r="D48" s="7" t="inlineStr">
        <is>
          <t>Kimia Hamidi</t>
        </is>
      </c>
      <c r="E48" s="7" t="inlineStr">
        <is>
          <t>Co-founder &amp; CEO</t>
        </is>
      </c>
      <c r="F48" s="7" t="inlineStr">
        <is>
          <t>NationGraph</t>
        </is>
      </c>
      <c r="G48" s="7" t="inlineStr">
        <is>
          <t>Canada</t>
        </is>
      </c>
      <c r="H48" s="7" t="inlineStr">
        <is>
          <t>Toronto / SF</t>
        </is>
      </c>
      <c r="I48" s="8" t="inlineStr">
        <is>
          <t>https://www.linkedin.com/in/hkimia</t>
        </is>
      </c>
      <c r="J48" s="9" t="inlineStr">
        <is>
          <t>Yes</t>
        </is>
      </c>
      <c r="K48" s="7" t="inlineStr">
        <is>
          <t>$18M Series A led by Menlo Ventures (announced Feb 2026; older than 90 days)</t>
        </is>
      </c>
      <c r="L48" s="7" t="inlineStr">
        <is>
          <t>2026-02-25</t>
        </is>
      </c>
      <c r="M48" s="10" t="inlineStr">
        <is>
          <t>https://www.axios.com/pro/enterprise-software-deals/2026/02/25/govtech-nationgraph-18-million-menlo</t>
        </is>
      </c>
      <c r="N48" s="7" t="inlineStr">
        <is>
          <t>Emerging writer</t>
        </is>
      </c>
      <c r="O48" s="7" t="inlineStr">
        <is>
          <t>2026-04</t>
        </is>
      </c>
      <c r="P48" s="7" t="inlineStr">
        <is>
          <t>Product and fundraise posts: Feb 2025 launch (82 comments), $4.5M (Aug 2025), product post (Apr 2026).</t>
        </is>
      </c>
      <c r="Q48" s="7" t="n">
        <v>20</v>
      </c>
      <c r="R48" s="7">
        <f>IF(Q48&gt;=60,"Priority",IF(Q48&gt;=40,"Warm","Nurture"))</f>
        <v/>
      </c>
      <c r="S48" s="7" t="inlineStr">
        <is>
          <t>Govtech sales need trust with public-sector buyers. His posts do well but come a few times a year.</t>
        </is>
      </c>
      <c r="T48" s="7" t="inlineStr">
        <is>
          <t>Hi Kimia, NationGraph's public-sector data work is interesting to follow.
Would be good to connect.</t>
        </is>
      </c>
      <c r="U48" s="7" t="inlineStr">
        <is>
          <t>Thanks for connecting, Kimia.
Your launch post drew a lot of discussion.
Is a regular cadence worth building now?</t>
        </is>
      </c>
      <c r="V48" s="7" t="inlineStr">
        <is>
          <t>Cadence; public-sector buyer content.</t>
        </is>
      </c>
      <c r="W48" s="7" t="inlineStr">
        <is>
          <t>Nurture. Trigger is older than 90 days. Revisit on the next trigger.</t>
        </is>
      </c>
      <c r="X48" s="9" t="inlineStr">
        <is>
          <t>kimia@nationgraph.com</t>
        </is>
      </c>
      <c r="Y48" s="7" t="inlineStr">
        <is>
          <t>NationGraph, steadily</t>
        </is>
      </c>
      <c r="Z48" s="7" t="inlineStr">
        <is>
          <t>Hi Kimia,
Your NationGraph launch post drew a lot of discussion. Since then you post a few times a year.
Public-sector buyers take time to trust a vendor, and a steady founder voice shortens that.
We help founders keep a regular LinkedIn rhythm in their own voice.
Open to a quick call when timing suits?
Prabal
Gliped | LinkedIn personal branding for founders
Not relevant? Reply "no" and I won't follow up.</t>
        </is>
      </c>
      <c r="AA48" s="7" t="inlineStr">
        <is>
          <t>Verified</t>
        </is>
      </c>
      <c r="AB48" s="7" t="inlineStr">
        <is>
          <t>Prospeo SMTP</t>
        </is>
      </c>
    </row>
    <row r="49" ht="96" customHeight="1">
      <c r="A49" s="7" t="inlineStr">
        <is>
          <t>G048</t>
        </is>
      </c>
      <c r="B49" s="7" t="inlineStr">
        <is>
          <t>02</t>
        </is>
      </c>
      <c r="C49" s="7" t="inlineStr">
        <is>
          <t>2026-09-25</t>
        </is>
      </c>
      <c r="D49" s="7" t="inlineStr">
        <is>
          <t>Darren Hill</t>
        </is>
      </c>
      <c r="E49" s="7" t="inlineStr">
        <is>
          <t>CEO</t>
        </is>
      </c>
      <c r="F49" s="7" t="inlineStr">
        <is>
          <t>Legio</t>
        </is>
      </c>
      <c r="G49" s="7" t="inlineStr">
        <is>
          <t>Canada</t>
        </is>
      </c>
      <c r="H49" s="7" t="inlineStr">
        <is>
          <t>Toronto</t>
        </is>
      </c>
      <c r="I49" s="8" t="inlineStr">
        <is>
          <t>https://www.linkedin.com/search/results/people/?keywords=Darren%20Hill%20Legio</t>
        </is>
      </c>
      <c r="J49" s="9" t="inlineStr">
        <is>
          <t>No</t>
        </is>
      </c>
      <c r="K49" s="7" t="inlineStr">
        <is>
          <t>$5M seed from Klass Capital; AI safety and security operations for higher education</t>
        </is>
      </c>
      <c r="L49" s="7" t="inlineStr">
        <is>
          <t>2026-08</t>
        </is>
      </c>
      <c r="M49" s="10" t="inlineStr">
        <is>
          <t>https://www.finsmes.com/2026/08/legio-raises-5m-in-seed-funding.html</t>
        </is>
      </c>
      <c r="N49" s="7" t="inlineStr">
        <is>
          <t>Not indexed</t>
        </is>
      </c>
      <c r="O49" s="7" t="inlineStr"/>
      <c r="P49" s="7" t="inlineStr">
        <is>
          <t>Several profiles share the name. One 'co-founder' Darren Hill posts on tech adoption, but it's not confirmed.</t>
        </is>
      </c>
      <c r="Q49" s="7" t="n">
        <v>50</v>
      </c>
      <c r="R49" s="7">
        <f>IF(Q49&gt;=60,"Priority",IF(Q49&gt;=40,"Warm","Nurture"))</f>
        <v/>
      </c>
      <c r="S49" s="7" t="inlineStr">
        <is>
          <t>University safety leaders buy on trust. A founder voice on campus safety sets Legio apart.</t>
        </is>
      </c>
      <c r="T49" s="7" t="inlineStr">
        <is>
          <t>Hi Darren, congrats on the seed.
Safety operations built for campuses is a focused bet.
Would be good to connect.</t>
        </is>
      </c>
      <c r="U49" s="7" t="inlineStr">
        <is>
          <t>Thanks for connecting, Darren.
Campus safety leaders are a tight community.
Is LinkedIn part of how you want to reach them?</t>
        </is>
      </c>
      <c r="V49" s="7" t="inlineStr">
        <is>
          <t>Confirm profile; higher-ed buyer content line.</t>
        </is>
      </c>
      <c r="W49" s="7" t="inlineStr">
        <is>
          <t>Confirm profile.</t>
        </is>
      </c>
      <c r="X49" s="9" t="inlineStr"/>
      <c r="Y49" s="7" t="inlineStr">
        <is>
          <t>Legio and campus leaders</t>
        </is>
      </c>
      <c r="Z49" s="7" t="inlineStr">
        <is>
          <t>Hi Darren,
Congrats on the seed.
Campus safety leaders are a tight community, and they buy on trust. A founder voice on LinkedIn about safety operations sets Legio apart.
We build founder brands on LinkedIn aimed at the buyers that matter.
Worth a 15-minute call?
Prabal
Gliped | LinkedIn personal branding for founders
Not relevant? Reply "no" and I won't follow up.</t>
        </is>
      </c>
      <c r="AA49" s="7" t="inlineStr">
        <is>
          <t>Not found</t>
        </is>
      </c>
      <c r="AB49" s="7" t="inlineStr"/>
    </row>
    <row r="50" ht="96" customHeight="1">
      <c r="A50" s="7" t="inlineStr">
        <is>
          <t>G049</t>
        </is>
      </c>
      <c r="B50" s="7" t="inlineStr">
        <is>
          <t>02</t>
        </is>
      </c>
      <c r="C50" s="7" t="inlineStr">
        <is>
          <t>2026-09-25</t>
        </is>
      </c>
      <c r="D50" s="7" t="inlineStr">
        <is>
          <t>Kelvin Cui</t>
        </is>
      </c>
      <c r="E50" s="7" t="inlineStr">
        <is>
          <t>Co-founder &amp; CEO</t>
        </is>
      </c>
      <c r="F50" s="7" t="inlineStr">
        <is>
          <t>Peripheral</t>
        </is>
      </c>
      <c r="G50" s="7" t="inlineStr">
        <is>
          <t>Canada</t>
        </is>
      </c>
      <c r="H50" s="7" t="inlineStr">
        <is>
          <t>Toronto</t>
        </is>
      </c>
      <c r="I50" s="8" t="inlineStr">
        <is>
          <t>https://www.linkedin.com/search/results/people/?keywords=Kelvin%20Cui%20Peripheral</t>
        </is>
      </c>
      <c r="J50" s="9" t="inlineStr">
        <is>
          <t>No</t>
        </is>
      </c>
      <c r="K50" s="7" t="inlineStr">
        <is>
          <t>$8.7M seed led by Inovia Capital and Deloitte Ventures, with Khosla Ventures; AI spatial intelligence for live sports media</t>
        </is>
      </c>
      <c r="L50" s="7" t="inlineStr">
        <is>
          <t>2026-08</t>
        </is>
      </c>
      <c r="M50" s="10" t="inlineStr">
        <is>
          <t>https://www.finsmes.com/2026/08/peripheral-raises-8-7m-in-seed-funding.html</t>
        </is>
      </c>
      <c r="N50" s="7" t="inlineStr">
        <is>
          <t>Not indexed</t>
        </is>
      </c>
      <c r="O50" s="7" t="inlineStr"/>
      <c r="P50" s="7" t="inlineStr">
        <is>
          <t>No recent own posts indexed.</t>
        </is>
      </c>
      <c r="Q50" s="7" t="n">
        <v>50</v>
      </c>
      <c r="R50" s="7">
        <f>IF(Q50&gt;=60,"Priority",IF(Q50&gt;=40,"Warm","Nurture"))</f>
        <v/>
      </c>
      <c r="S50" s="7" t="inlineStr">
        <is>
          <t>Sports media is a visual, shareable space. A founder feed with product clips does double duty as marketing.</t>
        </is>
      </c>
      <c r="T50" s="7" t="inlineStr">
        <is>
          <t>Hi Kelvin, congrats on the seed.
Spatial intelligence for live sports is a fun problem.
Would be good to connect.</t>
        </is>
      </c>
      <c r="U50" s="7" t="inlineStr">
        <is>
          <t>Thanks for connecting, Kelvin.
Your product is very visual, which suits LinkedIn.
Is founder content part of the go-to-market?</t>
        </is>
      </c>
      <c r="V50" s="7" t="inlineStr">
        <is>
          <t>Confirm profile; product-clip content series.</t>
        </is>
      </c>
      <c r="W50" s="7" t="inlineStr">
        <is>
          <t>Confirm profile. Co-founder Mustafa Khan.</t>
        </is>
      </c>
      <c r="X50" s="9" t="inlineStr"/>
      <c r="Y50" s="7" t="inlineStr">
        <is>
          <t>Peripheral on LinkedIn</t>
        </is>
      </c>
      <c r="Z50" s="7" t="inlineStr">
        <is>
          <t>Hi Kelvin,
Congrats on the seed.
Your product is very visual, which suits LinkedIn. Founder posts with product clips double as marketing to sports media buyers.
We build founder brands on LinkedIn, from positioning to weekly posts.
Open to a quick call?
Prabal
Gliped | LinkedIn personal branding for founders
Not relevant? Reply "no" and I won't follow up.</t>
        </is>
      </c>
      <c r="AA50" s="7" t="inlineStr">
        <is>
          <t>Not found</t>
        </is>
      </c>
      <c r="AB50" s="7" t="inlineStr"/>
    </row>
    <row r="51" ht="96" customHeight="1">
      <c r="A51" s="7" t="inlineStr">
        <is>
          <t>G050</t>
        </is>
      </c>
      <c r="B51" s="7" t="inlineStr">
        <is>
          <t>02</t>
        </is>
      </c>
      <c r="C51" s="7" t="inlineStr">
        <is>
          <t>2026-09-25</t>
        </is>
      </c>
      <c r="D51" s="7" t="inlineStr">
        <is>
          <t>Sumit Ajwani</t>
        </is>
      </c>
      <c r="E51" s="7" t="inlineStr">
        <is>
          <t>Founder &amp; CEO</t>
        </is>
      </c>
      <c r="F51" s="7" t="inlineStr">
        <is>
          <t>MakeOS (Makers)</t>
        </is>
      </c>
      <c r="G51" s="7" t="inlineStr">
        <is>
          <t>Canada</t>
        </is>
      </c>
      <c r="H51" s="7" t="inlineStr">
        <is>
          <t>Toronto</t>
        </is>
      </c>
      <c r="I51" s="8" t="inlineStr">
        <is>
          <t>https://www.linkedin.com/in/sumitproducer</t>
        </is>
      </c>
      <c r="J51" s="9" t="inlineStr">
        <is>
          <t>Yes</t>
        </is>
      </c>
      <c r="K51" s="7" t="inlineStr">
        <is>
          <t>Launched MakeOS, an AI workspace for producers</t>
        </is>
      </c>
      <c r="L51" s="7" t="inlineStr">
        <is>
          <t>2026-08-17</t>
        </is>
      </c>
      <c r="M51" s="10" t="inlineStr">
        <is>
          <t>https://lbbonline.com/news/sumit-ajwani-makeos-ai-workspace-producers</t>
        </is>
      </c>
      <c r="N51" s="7" t="inlineStr">
        <is>
          <t>Not indexed</t>
        </is>
      </c>
      <c r="O51" s="7" t="inlineStr"/>
      <c r="P51" s="7" t="inlineStr">
        <is>
          <t>Profile found, but no own posts indexed. The Makers company page announced MakeOS.</t>
        </is>
      </c>
      <c r="Q51" s="7" t="n">
        <v>50</v>
      </c>
      <c r="R51" s="7">
        <f>IF(Q51&gt;=60,"Priority",IF(Q51&gt;=40,"Warm","Nurture"))</f>
        <v/>
      </c>
      <c r="S51" s="7" t="inlineStr">
        <is>
          <t>Producers and agencies are a LinkedIn-native audience. A founder voice on AI in production fits.</t>
        </is>
      </c>
      <c r="T51" s="7" t="inlineStr">
        <is>
          <t>Hi Sumit, congrats on launching MakeOS.
An AI workspace built for producers is overdue.
Would be good to connect.</t>
        </is>
      </c>
      <c r="U51" s="7" t="inlineStr">
        <is>
          <t>Thanks for connecting, Sumit.
The launch is on the Makers page. Your own feed is quiet.
Is that something you want to change for MakeOS?</t>
        </is>
      </c>
      <c r="V51" s="7" t="inlineStr">
        <is>
          <t>Founder feed silent; producer-audience content line.</t>
        </is>
      </c>
      <c r="W51" s="7" t="inlineStr">
        <is>
          <t>Launch, not a funding round. Check whether there was a raise.</t>
        </is>
      </c>
      <c r="X51" s="9" t="inlineStr">
        <is>
          <t>sumit@getmakeos.com</t>
        </is>
      </c>
      <c r="Y51" s="7" t="inlineStr">
        <is>
          <t>MakeOS, founder-led</t>
        </is>
      </c>
      <c r="Z51" s="7" t="inlineStr">
        <is>
          <t>Hi Sumit,
Congrats on launching MakeOS.
The launch is on the Makers page, but your own feed is quiet. Producers and agencies live on LinkedIn, and they follow people.
We build founder brands on LinkedIn around launches like this one.
Worth a 15-minute call?
Prabal
Gliped | LinkedIn personal branding for founders
Not relevant? Reply "no" and I won't follow up.</t>
        </is>
      </c>
      <c r="AA51" s="7" t="inlineStr">
        <is>
          <t>Verified</t>
        </is>
      </c>
      <c r="AB51" s="7" t="inlineStr">
        <is>
          <t>Prospeo SMTP</t>
        </is>
      </c>
    </row>
    <row r="52" ht="96" customHeight="1">
      <c r="A52" s="7" t="inlineStr">
        <is>
          <t>G051</t>
        </is>
      </c>
      <c r="B52" s="7" t="inlineStr">
        <is>
          <t>02</t>
        </is>
      </c>
      <c r="C52" s="7" t="inlineStr">
        <is>
          <t>2026-09-25</t>
        </is>
      </c>
      <c r="D52" s="7" t="inlineStr">
        <is>
          <t>Baker Shogry</t>
        </is>
      </c>
      <c r="E52" s="7" t="inlineStr">
        <is>
          <t>Co-founder &amp; CEO</t>
        </is>
      </c>
      <c r="F52" s="7" t="inlineStr">
        <is>
          <t>Light</t>
        </is>
      </c>
      <c r="G52" s="7" t="inlineStr">
        <is>
          <t>US</t>
        </is>
      </c>
      <c r="H52" s="7" t="inlineStr"/>
      <c r="I52" s="8" t="inlineStr">
        <is>
          <t>https://www.linkedin.com/in/bakershogry</t>
        </is>
      </c>
      <c r="J52" s="9" t="inlineStr">
        <is>
          <t>Yes</t>
        </is>
      </c>
      <c r="K52" s="7" t="inlineStr">
        <is>
          <t>$46M Series A; white-label retail electricity platform</t>
        </is>
      </c>
      <c r="L52" s="7" t="inlineStr">
        <is>
          <t>2026-09</t>
        </is>
      </c>
      <c r="M52" s="10" t="inlineStr">
        <is>
          <t>https://www.finsmes.com/2026/09/light-raises-46m-in-series-a-funding.html</t>
        </is>
      </c>
      <c r="N52" s="7" t="inlineStr">
        <is>
          <t>Near-silent</t>
        </is>
      </c>
      <c r="O52" s="7" t="inlineStr">
        <is>
          <t>2021-12</t>
        </is>
      </c>
      <c r="P52" s="7" t="inlineStr">
        <is>
          <t>One own post indexed (Plaid FinRise, Dec 2021). Co-launched a heat pump project with Calvin French-Owen (2022).</t>
        </is>
      </c>
      <c r="Q52" s="7" t="n">
        <v>50</v>
      </c>
      <c r="R52" s="7">
        <f>IF(Q52&gt;=60,"Priority",IF(Q52&gt;=40,"Warm","Nurture"))</f>
        <v/>
      </c>
      <c r="S52" s="7" t="inlineStr">
        <is>
          <t>Energy is a trust category. A $46M Series A with a near-silent founder is a clear gap.</t>
        </is>
      </c>
      <c r="T52" s="7" t="inlineStr">
        <is>
          <t>Hi Baker, congrats on the Series A.
Letting any brand launch its own electricity plan is a clever wedge.
Would be good to connect.</t>
        </is>
      </c>
      <c r="U52" s="7" t="inlineStr">
        <is>
          <t>Thanks for connecting, Baker.
You've been pretty quiet on here.
With the Series A done, is building a voice in energy something you'd want?</t>
        </is>
      </c>
      <c r="V52" s="7" t="inlineStr">
        <is>
          <t>Near-silent feed; headline; energy-transition content line.</t>
        </is>
      </c>
      <c r="W52" s="7" t="inlineStr"/>
      <c r="X52" s="9" t="inlineStr"/>
      <c r="Y52" s="7" t="inlineStr">
        <is>
          <t>Light's founder voice</t>
        </is>
      </c>
      <c r="Z52" s="7" t="inlineStr">
        <is>
          <t>Hi Baker,
Congrats on the $46M Series A.
Energy is a trust category, and your LinkedIn has been nearly silent. Brands deciding whether to launch their own electricity plan will look you up.
We build founder brands on LinkedIn, from positioning to weekly posts.
Open to a quick call next week?
Prabal
Gliped | LinkedIn personal branding for founders
Not relevant? Reply "no" and I won't follow up.</t>
        </is>
      </c>
      <c r="AA52" s="7" t="inlineStr">
        <is>
          <t>Not checked</t>
        </is>
      </c>
      <c r="AB52" s="7" t="inlineStr"/>
    </row>
    <row r="53" ht="96" customHeight="1">
      <c r="A53" s="7" t="inlineStr">
        <is>
          <t>G052</t>
        </is>
      </c>
      <c r="B53" s="7" t="inlineStr">
        <is>
          <t>02</t>
        </is>
      </c>
      <c r="C53" s="7" t="inlineStr">
        <is>
          <t>2026-09-25</t>
        </is>
      </c>
      <c r="D53" s="7" t="inlineStr">
        <is>
          <t>Guy Shahar</t>
        </is>
      </c>
      <c r="E53" s="7" t="inlineStr">
        <is>
          <t>Co-founder &amp; CEO</t>
        </is>
      </c>
      <c r="F53" s="7" t="inlineStr">
        <is>
          <t>Blee</t>
        </is>
      </c>
      <c r="G53" s="7" t="inlineStr">
        <is>
          <t>US</t>
        </is>
      </c>
      <c r="H53" s="7" t="inlineStr"/>
      <c r="I53" s="8" t="inlineStr">
        <is>
          <t>https://www.linkedin.com/in/guy-shahar</t>
        </is>
      </c>
      <c r="J53" s="9" t="inlineStr">
        <is>
          <t>Yes</t>
        </is>
      </c>
      <c r="K53" s="7" t="inlineStr">
        <is>
          <t>$20M Series A; AI marketing compliance; grew 10x in 2025</t>
        </is>
      </c>
      <c r="L53" s="7" t="inlineStr">
        <is>
          <t>2026-09-08</t>
        </is>
      </c>
      <c r="M53" s="10" t="inlineStr">
        <is>
          <t>https://www.finsmes.com/2026/09/blee-raises-20m-in-series-a-funding.html</t>
        </is>
      </c>
      <c r="N53" s="7" t="inlineStr">
        <is>
          <t>Already consistent</t>
        </is>
      </c>
      <c r="O53" s="7" t="inlineStr">
        <is>
          <t>2026-09</t>
        </is>
      </c>
      <c r="P53" s="7" t="inlineStr">
        <is>
          <t>Roughly monthly since 2025: NerdWallet partnership, Figma plugin, 10x growth hiring post, case studies, Series A (8 Sep 2026).</t>
        </is>
      </c>
      <c r="Q53" s="7" t="n">
        <v>40</v>
      </c>
      <c r="R53" s="7">
        <f>IF(Q53&gt;=60,"Priority",IF(Q53&gt;=40,"Warm","Nurture"))</f>
        <v/>
      </c>
      <c r="S53" s="7" t="inlineStr">
        <is>
          <t>Already posting. Pitch reach and time back as the company scales.</t>
        </is>
      </c>
      <c r="T53" s="7" t="inlineStr">
        <is>
          <t>Hi Guy, congrats on the Series A.
The NerdWallet partnership was a strong proof point for Blee.
Would be good to connect.</t>
        </is>
      </c>
      <c r="U53" s="7" t="inlineStr">
        <is>
          <t>Thanks for connecting, Guy.
You post more consistently than most founders.
How much of your week does it take right now?</t>
        </is>
      </c>
      <c r="V53" s="7" t="inlineStr">
        <is>
          <t>Reach vs frequency; repurposing; compliance-leader audience.</t>
        </is>
      </c>
      <c r="W53" s="7" t="inlineStr">
        <is>
          <t>Active in the last 30 days.</t>
        </is>
      </c>
      <c r="X53" s="9" t="inlineStr"/>
      <c r="Y53" s="7" t="inlineStr">
        <is>
          <t>Your weekly hours back</t>
        </is>
      </c>
      <c r="Z53" s="7" t="inlineStr">
        <is>
          <t>Hi Guy,
Congrats on the Series A.
You post more consistently than most founders. That usually costs hours a week, right when Blee is scaling.
We keep founders' voice and rhythm while taking the writing and repurposing off their plate.
Worth 15 minutes to see what you'd get back?
Prabal
Gliped | LinkedIn personal branding for founders
Not relevant? Reply "no" and I won't follow up.</t>
        </is>
      </c>
      <c r="AA53" s="7" t="inlineStr">
        <is>
          <t>Not checked</t>
        </is>
      </c>
      <c r="AB53" s="7" t="inlineStr"/>
    </row>
    <row r="54" ht="96" customHeight="1">
      <c r="A54" s="7" t="inlineStr">
        <is>
          <t>G053</t>
        </is>
      </c>
      <c r="B54" s="7" t="inlineStr">
        <is>
          <t>02</t>
        </is>
      </c>
      <c r="C54" s="7" t="inlineStr">
        <is>
          <t>2026-09-25</t>
        </is>
      </c>
      <c r="D54" s="7" t="inlineStr">
        <is>
          <t>Michael LaFramboise</t>
        </is>
      </c>
      <c r="E54" s="7" t="inlineStr">
        <is>
          <t>Co-founder &amp; CEO</t>
        </is>
      </c>
      <c r="F54" s="7" t="inlineStr">
        <is>
          <t>Aurelius Systems</t>
        </is>
      </c>
      <c r="G54" s="7" t="inlineStr">
        <is>
          <t>US</t>
        </is>
      </c>
      <c r="H54" s="7" t="inlineStr">
        <is>
          <t>San Francisco</t>
        </is>
      </c>
      <c r="I54" s="8" t="inlineStr">
        <is>
          <t>https://www.linkedin.com/in/michael-laframboise</t>
        </is>
      </c>
      <c r="J54" s="9" t="inlineStr">
        <is>
          <t>Yes</t>
        </is>
      </c>
      <c r="K54" s="7" t="inlineStr">
        <is>
          <t>$40M Series A; directed-energy counter-drone systems</t>
        </is>
      </c>
      <c r="L54" s="7" t="inlineStr">
        <is>
          <t>2026-08-05</t>
        </is>
      </c>
      <c r="M54" s="10" t="inlineStr">
        <is>
          <t>https://www.finsmes.com/2026/08/aurelius-systems-raises-40m-in-series-a-funding.html</t>
        </is>
      </c>
      <c r="N54" s="7" t="inlineStr">
        <is>
          <t>Emerging writer</t>
        </is>
      </c>
      <c r="O54" s="7" t="inlineStr">
        <is>
          <t>2026-04</t>
        </is>
      </c>
      <c r="P54" s="7" t="inlineStr">
        <is>
          <t>Posts every one to three months: 'our startup shoots down drones with lasers' (Feb 2025), DragonFire (Jul 2025), careers, Archimedes manufacturing (Apr 2026).</t>
        </is>
      </c>
      <c r="Q54" s="7" t="n">
        <v>40</v>
      </c>
      <c r="R54" s="7">
        <f>IF(Q54&gt;=60,"Priority",IF(Q54&gt;=40,"Warm","Nurture"))</f>
        <v/>
      </c>
      <c r="S54" s="7" t="inlineStr">
        <is>
          <t>Defence tech buyers and recruits follow founders. He has the voice; cadence and reach are the gap.</t>
        </is>
      </c>
      <c r="T54" s="7" t="inlineStr">
        <is>
          <t>Hi Michael, congrats on the Series A.
US-made directed energy for counter-drone is a timely bet.
Would be good to connect.</t>
        </is>
      </c>
      <c r="U54" s="7" t="inlineStr">
        <is>
          <t>Thanks for connecting, Michael.
Your posts on defence tech get attention when they land.
Is going weekly worth it for hiring and customers?</t>
        </is>
      </c>
      <c r="V54" s="7" t="inlineStr">
        <is>
          <t>Cadence; defence buyer content; hiring series.</t>
        </is>
      </c>
      <c r="W54" s="7" t="inlineStr">
        <is>
          <t>Defence content has rules. Check export and ITAR boundaries.</t>
        </is>
      </c>
      <c r="X54" s="9" t="inlineStr"/>
      <c r="Y54" s="7" t="inlineStr">
        <is>
          <t>Aurelius, every week</t>
        </is>
      </c>
      <c r="Z54" s="7" t="inlineStr">
        <is>
          <t>Hi Michael,
Congrats on the $40M Series A.
Your defence-tech posts get attention when they land, every month or two. Weekly would help both hiring and customers.
We help founders keep that rhythm in their own voice, with care around what defence content can say.
Open to a quick call?
Prabal
Gliped | LinkedIn personal branding for founders
Not relevant? Reply "no" and I won't follow up.</t>
        </is>
      </c>
      <c r="AA54" s="7" t="inlineStr">
        <is>
          <t>Not checked</t>
        </is>
      </c>
      <c r="AB54" s="7" t="inlineStr"/>
    </row>
    <row r="55" ht="96" customHeight="1">
      <c r="A55" s="7" t="inlineStr">
        <is>
          <t>G054</t>
        </is>
      </c>
      <c r="B55" s="7" t="inlineStr">
        <is>
          <t>02</t>
        </is>
      </c>
      <c r="C55" s="7" t="inlineStr">
        <is>
          <t>2026-09-25</t>
        </is>
      </c>
      <c r="D55" s="7" t="inlineStr">
        <is>
          <t>Noah Schochet</t>
        </is>
      </c>
      <c r="E55" s="7" t="inlineStr">
        <is>
          <t>Co-founder &amp; CEO</t>
        </is>
      </c>
      <c r="F55" s="7" t="inlineStr">
        <is>
          <t>TerraFirma</t>
        </is>
      </c>
      <c r="G55" s="7" t="inlineStr">
        <is>
          <t>US</t>
        </is>
      </c>
      <c r="H55" s="7" t="inlineStr">
        <is>
          <t>Austin</t>
        </is>
      </c>
      <c r="I55" s="8" t="inlineStr">
        <is>
          <t>https://www.linkedin.com/in/noahschochet</t>
        </is>
      </c>
      <c r="J55" s="9" t="inlineStr">
        <is>
          <t>Yes</t>
        </is>
      </c>
      <c r="K55" s="7" t="inlineStr">
        <is>
          <t>$100M+ Series A led by Kleiner Perkins; tech-enabled construction</t>
        </is>
      </c>
      <c r="L55" s="7" t="inlineStr">
        <is>
          <t>2026-07-14</t>
        </is>
      </c>
      <c r="M55" s="10" t="inlineStr">
        <is>
          <t>https://www.finsmes.com/2026/07/terrafirma-raises-100m-in-series-a-funding.html</t>
        </is>
      </c>
      <c r="N55" s="7" t="inlineStr">
        <is>
          <t>Emerging writer</t>
        </is>
      </c>
      <c r="O55" s="7" t="inlineStr">
        <is>
          <t>2026-07</t>
        </is>
      </c>
      <c r="P55" s="7" t="inlineStr">
        <is>
          <t>Opinion posts every two to three months in 2026: 'stop shipping software' (Feb), 'the future is already here' (Apr), Series A (Jul).</t>
        </is>
      </c>
      <c r="Q55" s="7" t="n">
        <v>40</v>
      </c>
      <c r="R55" s="7">
        <f>IF(Q55&gt;=60,"Priority",IF(Q55&gt;=40,"Warm","Nurture"))</f>
        <v/>
      </c>
      <c r="S55" s="7" t="inlineStr">
        <is>
          <t>A strong contrarian point of view on construction. More frequency turns it into a category voice.</t>
        </is>
      </c>
      <c r="T55" s="7" t="inlineStr">
        <is>
          <t>Hi Noah, congrats on the Series A.
Saw your 'stop shipping software' post. Not a line I expected from a construction company.
Would be good to connect.</t>
        </is>
      </c>
      <c r="U55" s="7" t="inlineStr">
        <is>
          <t>Thanks for connecting, Noah.
Your posts have a clear point of view. They come every couple of months.
Would going weekly change anything for hiring or deals?</t>
        </is>
      </c>
      <c r="V55" s="7" t="inlineStr">
        <is>
          <t>Cadence; construction-buyer framing; recurring format.</t>
        </is>
      </c>
      <c r="W55" s="7" t="inlineStr"/>
      <c r="X55" s="9" t="inlineStr"/>
      <c r="Y55" s="7" t="inlineStr">
        <is>
          <t>TerraFirma, weekly</t>
        </is>
      </c>
      <c r="Z55" s="7" t="inlineStr">
        <is>
          <t>Hi Noah,
Congrats on the Series A.
You post with a clear point of view every couple of months. Weekly turns that into a category voice for construction.
We help founders keep a weekly rhythm in their own voice without it eating their week.
Worth a 15-minute call?
Prabal
Gliped | LinkedIn personal branding for founders
Not relevant? Reply "no" and I won't follow up.</t>
        </is>
      </c>
      <c r="AA55" s="7" t="inlineStr">
        <is>
          <t>Not checked</t>
        </is>
      </c>
      <c r="AB55" s="7" t="inlineStr"/>
    </row>
    <row r="56" ht="96" customHeight="1">
      <c r="A56" s="7" t="inlineStr">
        <is>
          <t>G055</t>
        </is>
      </c>
      <c r="B56" s="7" t="inlineStr">
        <is>
          <t>02</t>
        </is>
      </c>
      <c r="C56" s="7" t="inlineStr">
        <is>
          <t>2026-09-25</t>
        </is>
      </c>
      <c r="D56" s="7" t="inlineStr">
        <is>
          <t>Christian Bhatia Ondaatje</t>
        </is>
      </c>
      <c r="E56" s="7" t="inlineStr">
        <is>
          <t>CEO</t>
        </is>
      </c>
      <c r="F56" s="7" t="inlineStr">
        <is>
          <t>Aranya</t>
        </is>
      </c>
      <c r="G56" s="7" t="inlineStr">
        <is>
          <t>US</t>
        </is>
      </c>
      <c r="H56" s="7" t="inlineStr"/>
      <c r="I56" s="8" t="inlineStr">
        <is>
          <t>https://www.linkedin.com/in/christianondaatje</t>
        </is>
      </c>
      <c r="J56" s="9" t="inlineStr">
        <is>
          <t>Yes</t>
        </is>
      </c>
      <c r="K56" s="7" t="inlineStr">
        <is>
          <t>$11M; clusterdOS turns bare metal into production clusters in under 48 hours</t>
        </is>
      </c>
      <c r="L56" s="7" t="inlineStr">
        <is>
          <t>2026-09</t>
        </is>
      </c>
      <c r="M56" s="10" t="inlineStr">
        <is>
          <t>https://www.finsmes.com/2026/09/aranya-raises-11m-in-funding.html</t>
        </is>
      </c>
      <c r="N56" s="7" t="inlineStr">
        <is>
          <t>Near-silent</t>
        </is>
      </c>
      <c r="O56" s="7" t="inlineStr">
        <is>
          <t>2024-12</t>
        </is>
      </c>
      <c r="P56" s="7" t="inlineStr">
        <is>
          <t>One own post indexed (Dec 2024). Company announced 'out of stealth' (Apr 2026). Co-founder Aryamika posts more.</t>
        </is>
      </c>
      <c r="Q56" s="7" t="n">
        <v>50</v>
      </c>
      <c r="R56" s="7">
        <f>IF(Q56&gt;=60,"Priority",IF(Q56&gt;=40,"Warm","Nurture"))</f>
        <v/>
      </c>
      <c r="S56" s="7" t="inlineStr">
        <is>
          <t>AI infrastructure buyers need to trust the CEO. Coming out of stealth plus a raise is the moment.</t>
        </is>
      </c>
      <c r="T56" s="7" t="inlineStr">
        <is>
          <t>Hi Christian, congrats on the raise.
Bare metal to production clusters in 48 hours is a strong claim.
Would be good to connect.</t>
        </is>
      </c>
      <c r="U56" s="7" t="inlineStr">
        <is>
          <t>Thanks for connecting, Christian.
Aranya's story is mostly on the company page and your co-founder's feed.
Is your own voice something you want to build now?</t>
        </is>
      </c>
      <c r="V56" s="7" t="inlineStr">
        <is>
          <t>Near-silent; headline; infra-buyer content.</t>
        </is>
      </c>
      <c r="W56" s="7" t="inlineStr">
        <is>
          <t>Co-founders Aryamika Bhatia Ondaatje and Sasivarnan K S.</t>
        </is>
      </c>
      <c r="X56" s="9" t="inlineStr"/>
      <c r="Y56" s="7" t="inlineStr">
        <is>
          <t>Aranya out of stealth</t>
        </is>
      </c>
      <c r="Z56" s="7" t="inlineStr">
        <is>
          <t>Hi Christian,
Congrats on the raise.
Aranya's story is on the company page and your co-founder's feed. Infrastructure buyers want to hear from the CEO, and yours has been quiet since 2024.
We build founder brands on LinkedIn for technical founders.
Open to a quick call?
Prabal
Gliped | LinkedIn personal branding for founders
Not relevant? Reply "no" and I won't follow up.</t>
        </is>
      </c>
      <c r="AA56" s="7" t="inlineStr">
        <is>
          <t>Not checked</t>
        </is>
      </c>
      <c r="AB56" s="7" t="inlineStr"/>
    </row>
    <row r="57" ht="96" customHeight="1">
      <c r="A57" s="7" t="inlineStr">
        <is>
          <t>G056</t>
        </is>
      </c>
      <c r="B57" s="7" t="inlineStr">
        <is>
          <t>02</t>
        </is>
      </c>
      <c r="C57" s="7" t="inlineStr">
        <is>
          <t>2026-09-25</t>
        </is>
      </c>
      <c r="D57" s="7" t="inlineStr">
        <is>
          <t>Kaitlyn Albertoli</t>
        </is>
      </c>
      <c r="E57" s="7" t="inlineStr">
        <is>
          <t>Co-founder &amp; CEO</t>
        </is>
      </c>
      <c r="F57" s="7" t="inlineStr">
        <is>
          <t>Buzz Solutions</t>
        </is>
      </c>
      <c r="G57" s="7" t="inlineStr">
        <is>
          <t>US</t>
        </is>
      </c>
      <c r="H57" s="7" t="inlineStr">
        <is>
          <t>Palo Alto</t>
        </is>
      </c>
      <c r="I57" s="8" t="inlineStr">
        <is>
          <t>https://www.linkedin.com/in/kaitlyn-claire-albertoli</t>
        </is>
      </c>
      <c r="J57" s="9" t="inlineStr">
        <is>
          <t>Yes</t>
        </is>
      </c>
      <c r="K57" s="7" t="inlineStr">
        <is>
          <t>$20M Series A led by S3 Ventures; grid inspection AI</t>
        </is>
      </c>
      <c r="L57" s="7" t="inlineStr">
        <is>
          <t>2026-08-04</t>
        </is>
      </c>
      <c r="M57" s="10" t="inlineStr">
        <is>
          <t>https://www.finsmes.com/2026/08/buzz-solutions-raises-20m-in-series-a-funding.html</t>
        </is>
      </c>
      <c r="N57" s="7" t="inlineStr">
        <is>
          <t>Milestone-only</t>
        </is>
      </c>
      <c r="O57" s="7" t="inlineStr">
        <is>
          <t>2026-08</t>
        </is>
      </c>
      <c r="P57" s="7" t="inlineStr">
        <is>
          <t>Posts at milestones and awards: $3.3M round (2022), AI trends (Jan 2024), women in STEM, grid edge (Jan 2025), Series A (Aug 2026). Media interviews (Schwab, Jul 2026).</t>
        </is>
      </c>
      <c r="Q57" s="7" t="n">
        <v>40</v>
      </c>
      <c r="R57" s="7">
        <f>IF(Q57&gt;=60,"Priority",IF(Q57&gt;=40,"Warm","Nurture"))</f>
        <v/>
      </c>
      <c r="S57" s="7" t="inlineStr">
        <is>
          <t>Utilities are a conservative buyer. A steady CEO voice on grid reliability builds the trust that press alone doesn't.</t>
        </is>
      </c>
      <c r="T57" s="7" t="inlineStr">
        <is>
          <t>Hi Kaitlyn, congrats on the Series A.
AI for grid inspection matters more every summer.
Would be good to connect.</t>
        </is>
      </c>
      <c r="U57" s="7" t="inlineStr">
        <is>
          <t>Thanks for connecting, Kaitlyn.
You post at big moments and do interviews well.
Is a steadier cadence for utility buyers worth it now?</t>
        </is>
      </c>
      <c r="V57" s="7" t="inlineStr">
        <is>
          <t>Cadence; utility-buyer content line; interview repurposing.</t>
        </is>
      </c>
      <c r="W57" s="7" t="inlineStr">
        <is>
          <t>Forbes 30 Under 30 with co-founder Vikhyat Chaudhry.</t>
        </is>
      </c>
      <c r="X57" s="9" t="inlineStr"/>
      <c r="Y57" s="7" t="inlineStr">
        <is>
          <t>Buzz and utility buyers</t>
        </is>
      </c>
      <c r="Z57" s="7" t="inlineStr">
        <is>
          <t>Hi Kaitlyn,
Congrats on the Series A.
You post at big moments and do interviews well. Utilities are conservative buyers, and a steady CEO voice on grid reliability builds trust that press alone doesn't.
We help founders turn interviews and milestones into a weekly LinkedIn rhythm.
Worth a 15-minute call?
Prabal
Gliped | LinkedIn personal branding for founders
Not relevant? Reply "no" and I won't follow up.</t>
        </is>
      </c>
      <c r="AA57" s="7" t="inlineStr">
        <is>
          <t>Not checked</t>
        </is>
      </c>
      <c r="AB57" s="7" t="inlineStr"/>
    </row>
    <row r="58" ht="96" customHeight="1">
      <c r="A58" s="7" t="inlineStr">
        <is>
          <t>G057</t>
        </is>
      </c>
      <c r="B58" s="7" t="inlineStr">
        <is>
          <t>02</t>
        </is>
      </c>
      <c r="C58" s="7" t="inlineStr">
        <is>
          <t>2026-09-25</t>
        </is>
      </c>
      <c r="D58" s="7" t="inlineStr">
        <is>
          <t>Oscar Levy</t>
        </is>
      </c>
      <c r="E58" s="7" t="inlineStr">
        <is>
          <t>Co-founder &amp; CEO</t>
        </is>
      </c>
      <c r="F58" s="7" t="inlineStr">
        <is>
          <t>River Markets</t>
        </is>
      </c>
      <c r="G58" s="7" t="inlineStr">
        <is>
          <t>US</t>
        </is>
      </c>
      <c r="H58" s="7" t="inlineStr"/>
      <c r="I58" s="8" t="inlineStr">
        <is>
          <t>https://www.linkedin.com/in/oscar-levy</t>
        </is>
      </c>
      <c r="J58" s="9" t="inlineStr">
        <is>
          <t>Yes</t>
        </is>
      </c>
      <c r="K58" s="7" t="inlineStr">
        <is>
          <t>$8.5M seed led by Haun Ventures with YC and Coinbase Ventures; prediction market prime brokerage</t>
        </is>
      </c>
      <c r="L58" s="7" t="inlineStr">
        <is>
          <t>2026-08-11</t>
        </is>
      </c>
      <c r="M58" s="10" t="inlineStr">
        <is>
          <t>https://fortune.com/2026/08/11/exclusive-river-markets-seed-round-prediction-market-trading-tools-institutions/</t>
        </is>
      </c>
      <c r="N58" s="7" t="inlineStr">
        <is>
          <t>Emerging writer</t>
        </is>
      </c>
      <c r="O58" s="7" t="inlineStr">
        <is>
          <t>2026-06</t>
        </is>
      </c>
      <c r="P58" s="7" t="inlineStr">
        <is>
          <t>New to posting: launch story (May 2026), a SpaceX bets post (Jun 2026, 10 comments). Interviews on prediction-market infrastructure.</t>
        </is>
      </c>
      <c r="Q58" s="7" t="n">
        <v>40</v>
      </c>
      <c r="R58" s="7">
        <f>IF(Q58&gt;=60,"Priority",IF(Q58&gt;=40,"Warm","Nurture"))</f>
        <v/>
      </c>
      <c r="S58" s="7" t="inlineStr">
        <is>
          <t>Prediction markets are a hot topic. An early, steady voice for institutions sets the category leader.</t>
        </is>
      </c>
      <c r="T58" s="7" t="inlineStr">
        <is>
          <t>Hi Oscar, congrats on the seed.
Prime brokerage for prediction markets is early and interesting.
Would be good to connect.</t>
        </is>
      </c>
      <c r="U58" s="7" t="inlineStr">
        <is>
          <t>Thanks for connecting, Oscar.
You've just started posting.
Is keeping it weekly realistic with a new raise to deploy?</t>
        </is>
      </c>
      <c r="V58" s="7" t="inlineStr">
        <is>
          <t>Cadence; institutional audience framing; market-commentary series.</t>
        </is>
      </c>
      <c r="W58" s="7" t="inlineStr">
        <is>
          <t>Co-founder CTO Antonin Parrot.</t>
        </is>
      </c>
      <c r="X58" s="9" t="inlineStr"/>
      <c r="Y58" s="7" t="inlineStr">
        <is>
          <t>River Markets, weekly</t>
        </is>
      </c>
      <c r="Z58" s="7" t="inlineStr">
        <is>
          <t>Hi Oscar,
Congrats on the seed.
You've just started posting about prediction markets. The founder who shows up every week for institutions becomes the category voice.
We help founders keep that rhythm while they deploy a new round.
Open to a quick call?
Prabal
Gliped | LinkedIn personal branding for founders
Not relevant? Reply "no" and I won't follow up.</t>
        </is>
      </c>
      <c r="AA58" s="7" t="inlineStr">
        <is>
          <t>Not checked</t>
        </is>
      </c>
      <c r="AB58" s="7" t="inlineStr"/>
    </row>
    <row r="59" ht="96" customHeight="1">
      <c r="A59" s="7" t="inlineStr">
        <is>
          <t>G058</t>
        </is>
      </c>
      <c r="B59" s="7" t="inlineStr">
        <is>
          <t>02</t>
        </is>
      </c>
      <c r="C59" s="7" t="inlineStr">
        <is>
          <t>2026-09-25</t>
        </is>
      </c>
      <c r="D59" s="7" t="inlineStr">
        <is>
          <t>Adel Badiri</t>
        </is>
      </c>
      <c r="E59" s="7" t="inlineStr">
        <is>
          <t>CEO</t>
        </is>
      </c>
      <c r="F59" s="7" t="inlineStr">
        <is>
          <t>Foundational Industries</t>
        </is>
      </c>
      <c r="G59" s="7" t="inlineStr">
        <is>
          <t>US</t>
        </is>
      </c>
      <c r="H59" s="7" t="inlineStr"/>
      <c r="I59" s="8" t="inlineStr">
        <is>
          <t>https://www.linkedin.com/search/results/people/?keywords=Adel%20Badiri%20Foundational%20Industries</t>
        </is>
      </c>
      <c r="J59" s="9" t="inlineStr">
        <is>
          <t>No</t>
        </is>
      </c>
      <c r="K59" s="7" t="inlineStr">
        <is>
          <t>$25M seed led by BoxGroup and Zigg Ventures; AI-native US factories for data centre hardware</t>
        </is>
      </c>
      <c r="L59" s="7" t="inlineStr">
        <is>
          <t>2026-08-05</t>
        </is>
      </c>
      <c r="M59" s="10" t="inlineStr">
        <is>
          <t>https://www.finsmes.com/2026/08/foundational-industries-raises-25m-in-seed-funding.html</t>
        </is>
      </c>
      <c r="N59" s="7" t="inlineStr">
        <is>
          <t>Not indexed</t>
        </is>
      </c>
      <c r="O59" s="7" t="inlineStr"/>
      <c r="P59" s="7" t="inlineStr">
        <is>
          <t>No own posts indexed.</t>
        </is>
      </c>
      <c r="Q59" s="7" t="n">
        <v>50</v>
      </c>
      <c r="R59" s="7">
        <f>IF(Q59&gt;=60,"Priority",IF(Q59&gt;=40,"Warm","Nurture"))</f>
        <v/>
      </c>
      <c r="S59" s="7" t="inlineStr">
        <is>
          <t>American reshoring plus AI manufacturing is a strong narrative. A quiet founder is leaving it on the table.</t>
        </is>
      </c>
      <c r="T59" s="7" t="inlineStr">
        <is>
          <t>Hi Adel, congrats on the seed.
AI-native factories for data centre hardware in the US is a timely bet.
Would be good to connect.</t>
        </is>
      </c>
      <c r="U59" s="7" t="inlineStr">
        <is>
          <t>Thanks for connecting, Adel.
Reshoring and AI manufacturing is a story people want to follow.
Is your own LinkedIn part of how you tell it?</t>
        </is>
      </c>
      <c r="V59" s="7" t="inlineStr">
        <is>
          <t>Confirm profile; build-in-public factory series; hiring.</t>
        </is>
      </c>
      <c r="W59" s="7" t="inlineStr">
        <is>
          <t>Confirm profile.</t>
        </is>
      </c>
      <c r="X59" s="9" t="inlineStr"/>
      <c r="Y59" s="7" t="inlineStr">
        <is>
          <t>Foundational's story</t>
        </is>
      </c>
      <c r="Z59" s="7" t="inlineStr">
        <is>
          <t>Hi Adel,
Congrats on the $25M seed.
American reshoring plus AI-native factories is a story people want to follow, and right now you're not telling it on LinkedIn.
We build founder brands on LinkedIn, from positioning to weekly posts, including build-in-public.
Worth a 15-minute call?
Prabal
Gliped | LinkedIn personal branding for founders
Not relevant? Reply "no" and I won't follow up.</t>
        </is>
      </c>
      <c r="AA59" s="7" t="inlineStr">
        <is>
          <t>Not checked</t>
        </is>
      </c>
      <c r="AB59" s="7" t="inlineStr"/>
    </row>
    <row r="60" ht="96" customHeight="1">
      <c r="A60" s="7" t="inlineStr">
        <is>
          <t>G059</t>
        </is>
      </c>
      <c r="B60" s="7" t="inlineStr">
        <is>
          <t>02</t>
        </is>
      </c>
      <c r="C60" s="7" t="inlineStr">
        <is>
          <t>2026-09-25</t>
        </is>
      </c>
      <c r="D60" s="7" t="inlineStr">
        <is>
          <t>David Lawrence</t>
        </is>
      </c>
      <c r="E60" s="7" t="inlineStr">
        <is>
          <t>Co-founder &amp; CEO</t>
        </is>
      </c>
      <c r="F60" s="7" t="inlineStr">
        <is>
          <t>Blue Voice</t>
        </is>
      </c>
      <c r="G60" s="7" t="inlineStr">
        <is>
          <t>US</t>
        </is>
      </c>
      <c r="H60" s="7" t="inlineStr">
        <is>
          <t>Boston</t>
        </is>
      </c>
      <c r="I60" s="8" t="inlineStr">
        <is>
          <t>https://www.linkedin.com/search/results/people/?keywords=David%20Lawrence%20Blue%20Voice</t>
        </is>
      </c>
      <c r="J60" s="9" t="inlineStr">
        <is>
          <t>No</t>
        </is>
      </c>
      <c r="K60" s="7" t="inlineStr">
        <is>
          <t>$6M led by SignalFire and Las Olas VC; AI policy guidance for police officers in 225 agencies</t>
        </is>
      </c>
      <c r="L60" s="7" t="inlineStr">
        <is>
          <t>2026-08-31</t>
        </is>
      </c>
      <c r="M60" s="10" t="inlineStr">
        <is>
          <t>https://techcrunch.com/2026/08/31/harvard-law-dropout-raises-6m-for-blue-voice-to-build-a-harvey-for-police-officers/</t>
        </is>
      </c>
      <c r="N60" s="7" t="inlineStr">
        <is>
          <t>Not indexed</t>
        </is>
      </c>
      <c r="O60" s="7" t="inlineStr"/>
      <c r="P60" s="7" t="inlineStr">
        <is>
          <t>No own posts indexed. TechCrunch framed him as a Harvard Law dropout.</t>
        </is>
      </c>
      <c r="Q60" s="7" t="n">
        <v>50</v>
      </c>
      <c r="R60" s="7">
        <f>IF(Q60&gt;=60,"Priority",IF(Q60&gt;=40,"Warm","Nurture"))</f>
        <v/>
      </c>
      <c r="S60" s="7" t="inlineStr">
        <is>
          <t>Public-safety buyers are cautious. A founder who explains why he left law school to build this earns trust with chiefs and councils.</t>
        </is>
      </c>
      <c r="T60" s="7" t="inlineStr">
        <is>
          <t>Hi David, congrats on the raise.
Real-time policy guidance for officers is a thoughtful use of AI.
Would be good to connect.</t>
        </is>
      </c>
      <c r="U60" s="7" t="inlineStr">
        <is>
          <t>Thanks for connecting, David.
Your reason for starting Blue Voice is a story police leaders would read.
Is LinkedIn part of how you want to reach them?</t>
        </is>
      </c>
      <c r="V60" s="7" t="inlineStr">
        <is>
          <t>Confirm profile; origin story; agency-leader content line.</t>
        </is>
      </c>
      <c r="W60" s="7" t="inlineStr">
        <is>
          <t>Confirm profile. Sensitive topic, so keep it measured.</t>
        </is>
      </c>
      <c r="X60" s="9" t="inlineStr"/>
      <c r="Y60" s="7" t="inlineStr">
        <is>
          <t>Blue Voice's why</t>
        </is>
      </c>
      <c r="Z60" s="7" t="inlineStr">
        <is>
          <t>Hi David,
Congrats on the raise.
Why you left law school to build Blue Voice is a story police leaders and councils would read, and it builds the trust public-safety buyers need.
We build founder brands on LinkedIn, carefully and in a measured tone.
Open to a quick call?
Prabal
Gliped | LinkedIn personal branding for founders
Not relevant? Reply "no" and I won't follow up.</t>
        </is>
      </c>
      <c r="AA60" s="7" t="inlineStr">
        <is>
          <t>Not checked</t>
        </is>
      </c>
      <c r="AB60" s="7" t="inlineStr"/>
    </row>
    <row r="61" ht="96" customHeight="1">
      <c r="A61" s="7" t="inlineStr">
        <is>
          <t>G060</t>
        </is>
      </c>
      <c r="B61" s="7" t="inlineStr">
        <is>
          <t>02</t>
        </is>
      </c>
      <c r="C61" s="7" t="inlineStr">
        <is>
          <t>2026-09-25</t>
        </is>
      </c>
      <c r="D61" s="7" t="inlineStr">
        <is>
          <t>Ian McInnis</t>
        </is>
      </c>
      <c r="E61" s="7" t="inlineStr">
        <is>
          <t>Co-founder</t>
        </is>
      </c>
      <c r="F61" s="7" t="inlineStr">
        <is>
          <t>Multiplier</t>
        </is>
      </c>
      <c r="G61" s="7" t="inlineStr">
        <is>
          <t>US</t>
        </is>
      </c>
      <c r="H61" s="7" t="inlineStr">
        <is>
          <t>New York</t>
        </is>
      </c>
      <c r="I61" s="8" t="inlineStr">
        <is>
          <t>https://www.linkedin.com/search/results/people/?keywords=Ian%20McInnis%20Multiplier</t>
        </is>
      </c>
      <c r="J61" s="9" t="inlineStr">
        <is>
          <t>No</t>
        </is>
      </c>
      <c r="K61" s="7" t="inlineStr">
        <is>
          <t>$6M seed; moved HQ to Midtown East, New York</t>
        </is>
      </c>
      <c r="L61" s="7" t="inlineStr">
        <is>
          <t>2026-08</t>
        </is>
      </c>
      <c r="M61" s="10" t="inlineStr">
        <is>
          <t>https://www.finsmes.com/2026/08/multiplier-raises-usd6m-in-seed-funding.html</t>
        </is>
      </c>
      <c r="N61" s="7" t="inlineStr">
        <is>
          <t>Not indexed</t>
        </is>
      </c>
      <c r="O61" s="7" t="inlineStr"/>
      <c r="P61" s="7" t="inlineStr">
        <is>
          <t>No own posts indexed. Co-founder Ryan Winkler posted the launch (May 2026).</t>
        </is>
      </c>
      <c r="Q61" s="7" t="n">
        <v>50</v>
      </c>
      <c r="R61" s="7">
        <f>IF(Q61&gt;=60,"Priority",IF(Q61&gt;=40,"Warm","Nurture"))</f>
        <v/>
      </c>
      <c r="S61" s="7" t="inlineStr">
        <is>
          <t>New York seed-stage team. The founder who posts gets the first hires and the first customers' attention.</t>
        </is>
      </c>
      <c r="T61" s="7" t="inlineStr">
        <is>
          <t>Hi Ian, congrats on the seed and the move to New York.
Following what Multiplier is building.
Would be good to connect.</t>
        </is>
      </c>
      <c r="U61" s="7" t="inlineStr">
        <is>
          <t>Thanks for connecting, Ian.
Ryan's been the voice of the launch so far.
Is building your own presence part of the plan?</t>
        </is>
      </c>
      <c r="V61" s="7" t="inlineStr">
        <is>
          <t>Confirm profile and role; founder-voice split between co-founders.</t>
        </is>
      </c>
      <c r="W61" s="7" t="inlineStr">
        <is>
          <t>Confirm profile and who the CEO is. Co-founders Ben Finch and Ryan Winkler.</t>
        </is>
      </c>
      <c r="X61" s="9" t="inlineStr"/>
      <c r="Y61" s="7" t="inlineStr">
        <is>
          <t>Multiplier in New York</t>
        </is>
      </c>
      <c r="Z61" s="7" t="inlineStr">
        <is>
          <t>Hi Ian,
Congrats on the seed and the move to New York.
Ryan has been the voice of the launch so far. At seed stage, the founder who posts gets the first hires' and first customers' attention.
We build founder brands on LinkedIn, from positioning to weekly posts.
Worth a 15-minute call?
Prabal
Gliped | LinkedIn personal branding for founders
Not relevant? Reply "no" and I won't follow up.</t>
        </is>
      </c>
      <c r="AA61" s="7" t="inlineStr">
        <is>
          <t>Not checked</t>
        </is>
      </c>
      <c r="AB61" s="7" t="inlineStr"/>
    </row>
    <row r="62" ht="96" customHeight="1">
      <c r="A62" s="7" t="inlineStr">
        <is>
          <t>G061</t>
        </is>
      </c>
      <c r="B62" s="7" t="inlineStr">
        <is>
          <t>03</t>
        </is>
      </c>
      <c r="C62" s="7" t="inlineStr">
        <is>
          <t>2026-10-02</t>
        </is>
      </c>
      <c r="D62" s="7" t="inlineStr">
        <is>
          <t>Salem Abu-Hammour</t>
        </is>
      </c>
      <c r="E62" s="7" t="inlineStr">
        <is>
          <t>Co-founder &amp; CEO</t>
        </is>
      </c>
      <c r="F62" s="7" t="inlineStr">
        <is>
          <t>erad</t>
        </is>
      </c>
      <c r="G62" s="7" t="inlineStr">
        <is>
          <t>MENA</t>
        </is>
      </c>
      <c r="H62" s="7" t="inlineStr">
        <is>
          <t>Riyadh</t>
        </is>
      </c>
      <c r="I62" s="8" t="inlineStr">
        <is>
          <t>https://www.linkedin.com/in/salem-abu-hammour-8717a6100</t>
        </is>
      </c>
      <c r="J62" s="9" t="inlineStr">
        <is>
          <t>Yes</t>
        </is>
      </c>
      <c r="K62" s="7" t="inlineStr">
        <is>
          <t>$22M Series A led by MEVP with 500 Global, SVC (SME working-capital fintech)</t>
        </is>
      </c>
      <c r="L62" s="7" t="inlineStr">
        <is>
          <t>2026-09</t>
        </is>
      </c>
      <c r="M62" s="10" t="inlineStr">
        <is>
          <t>https://www.wamda.com/2026/09/saudi-fintech-erad-raises-22-million-series-led-mevp</t>
        </is>
      </c>
      <c r="N62" s="7" t="inlineStr">
        <is>
          <t>Went quiet</t>
        </is>
      </c>
      <c r="O62" s="7" t="inlineStr">
        <is>
          <t>2022-09</t>
        </is>
      </c>
      <c r="P62" s="7" t="inlineStr">
        <is>
          <t>One own post indexed: the erad pre-seed announcement (Sep 2022). Nothing indexed from the seed or this Series A.</t>
        </is>
      </c>
      <c r="Q62" s="7" t="n">
        <v>50</v>
      </c>
      <c r="R62" s="7">
        <f>IF(Q62&gt;=60,"Priority",IF(Q62&gt;=40,"Warm","Nurture"))</f>
        <v/>
      </c>
      <c r="S62" s="7" t="inlineStr">
        <is>
          <t>SME lending runs on trust. A CEO who explains how erad underwrites Saudi SMEs gives founders and banks a reason to call.</t>
        </is>
      </c>
      <c r="T62" s="7" t="inlineStr">
        <is>
          <t>Hi Salem, congrats on the Series A.
Working capital for Saudi SMEs is a gap a lot of founders feel.
Would be good to connect.</t>
        </is>
      </c>
      <c r="U62" s="7" t="inlineStr">
        <is>
          <t>Thanks for connecting, Salem.
The last post I could find from you is the pre-seed in 2022.
With the Series A done, is LinkedIn part of how you want to reach SME owners?</t>
        </is>
      </c>
      <c r="V62" s="7" t="inlineStr">
        <is>
          <t>Quiet since 2022; no view on SME credit in KSA; headline and featured section not selling erad.</t>
        </is>
      </c>
      <c r="W62" s="7" t="inlineStr">
        <is>
          <t>Co-founder posts may carry the story; check before sending.</t>
        </is>
      </c>
      <c r="X62" s="9" t="inlineStr">
        <is>
          <t>salem@erad.co</t>
        </is>
      </c>
      <c r="Y62" s="7" t="inlineStr">
        <is>
          <t>erad after the Series A</t>
        </is>
      </c>
      <c r="Z62" s="7" t="inlineStr">
        <is>
          <t>Hi Salem,
Congrats on the $22M Series A.
The last post I could find from you is the pre-seed in 2022. SME owners and bank partners now look you up before they look at erad.
We build founder brands on LinkedIn, from positioning to weekly posts.
Worth a 15-minute call next week?
Prabal
Gliped | LinkedIn personal branding for founders
Not relevant? Reply "no" and I won't follow up.</t>
        </is>
      </c>
      <c r="AA62" s="7" t="inlineStr">
        <is>
          <t>Verified</t>
        </is>
      </c>
      <c r="AB62" s="7" t="inlineStr">
        <is>
          <t>Prospeo SMTP Co-Founder &amp; CEO</t>
        </is>
      </c>
    </row>
    <row r="63" ht="96" customHeight="1">
      <c r="A63" s="7" t="inlineStr">
        <is>
          <t>G062</t>
        </is>
      </c>
      <c r="B63" s="7" t="inlineStr">
        <is>
          <t>03</t>
        </is>
      </c>
      <c r="C63" s="7" t="inlineStr">
        <is>
          <t>2026-10-02</t>
        </is>
      </c>
      <c r="D63" s="7" t="inlineStr">
        <is>
          <t>Mohammad Raafi Hossain</t>
        </is>
      </c>
      <c r="E63" s="7" t="inlineStr">
        <is>
          <t>Co-founder &amp; CEO</t>
        </is>
      </c>
      <c r="F63" s="7" t="inlineStr">
        <is>
          <t>Fasset</t>
        </is>
      </c>
      <c r="G63" s="7" t="inlineStr">
        <is>
          <t>MENA</t>
        </is>
      </c>
      <c r="H63" s="7" t="inlineStr">
        <is>
          <t>Dubai</t>
        </is>
      </c>
      <c r="I63" s="8" t="inlineStr">
        <is>
          <t>https://www.linkedin.com/in/raafihossain</t>
        </is>
      </c>
      <c r="J63" s="9" t="inlineStr">
        <is>
          <t>Yes</t>
        </is>
      </c>
      <c r="K63" s="7" t="inlineStr">
        <is>
          <t>$68M Series C at $1B valuation led by SBI Group (stablecoin neobank)</t>
        </is>
      </c>
      <c r="L63" s="7" t="inlineStr">
        <is>
          <t>2026-08</t>
        </is>
      </c>
      <c r="M63" s="10" t="inlineStr">
        <is>
          <t>https://www.finsmes.com/2026/08/fasset-raises-68m-in-series-c-funding.html</t>
        </is>
      </c>
      <c r="N63" s="7" t="inlineStr">
        <is>
          <t>Went quiet</t>
        </is>
      </c>
      <c r="O63" s="7" t="inlineStr">
        <is>
          <t>2021-05</t>
        </is>
      </c>
      <c r="P63" s="7" t="inlineStr">
        <is>
          <t>One own post indexed, from May 2021. The Series C and unicorn valuation were covered by press, not on the founder's own LinkedIn as far as indexing shows.</t>
        </is>
      </c>
      <c r="Q63" s="7" t="n">
        <v>50</v>
      </c>
      <c r="R63" s="7">
        <f>IF(Q63&gt;=60,"Priority",IF(Q63&gt;=40,"Warm","Nurture"))</f>
        <v/>
      </c>
      <c r="S63" s="7" t="inlineStr">
        <is>
          <t>A $1B stablecoin neobank needs regulators, partners and users to trust the person behind it. A founder voice is the cheapest trust signal Fasset has.</t>
        </is>
      </c>
      <c r="T63" s="7" t="inlineStr">
        <is>
          <t>Hi Raafi, congrats on the Series C.
A licensed stablecoin neobank out of Dubai is a story worth following.
Would be good to connect.</t>
        </is>
      </c>
      <c r="U63" s="7" t="inlineStr">
        <is>
          <t>Thanks for connecting, Raafi.
Press covered the round well, but I couldn't find much from you on LinkedIn since 2021.
Is building your own voice there on the list this year?</t>
        </is>
      </c>
      <c r="V63" s="7" t="inlineStr">
        <is>
          <t>Last indexed own post 2021; no view on stablecoin regulation; profile not reflecting unicorn stage.</t>
        </is>
      </c>
      <c r="W63" s="7" t="inlineStr">
        <is>
          <t>No verified email. LinkedIn first.</t>
        </is>
      </c>
      <c r="X63" s="9" t="inlineStr"/>
      <c r="Y63" s="7" t="inlineStr">
        <is>
          <t>Fasset's founder voice</t>
        </is>
      </c>
      <c r="Z63" s="7" t="inlineStr">
        <is>
          <t>Hi Raafi,
Congrats on the Series C and the $1B valuation.
Press covered the round well, but your own LinkedIn has been quiet since 2021. For a stablecoin neobank, the founder's voice is the cheapest trust signal with regulators and users.
We build founder brands on LinkedIn, steadily and credibly.
Open to a quick call?
Prabal
Gliped | LinkedIn personal branding for founders
Not relevant? Reply "no" and I won't follow up.</t>
        </is>
      </c>
      <c r="AA63" s="7" t="inlineStr">
        <is>
          <t>Not found</t>
        </is>
      </c>
      <c r="AB63" s="7" t="inlineStr"/>
    </row>
    <row r="64" ht="96" customHeight="1">
      <c r="A64" s="7" t="inlineStr">
        <is>
          <t>G063</t>
        </is>
      </c>
      <c r="B64" s="7" t="inlineStr">
        <is>
          <t>03</t>
        </is>
      </c>
      <c r="C64" s="7" t="inlineStr">
        <is>
          <t>2026-10-02</t>
        </is>
      </c>
      <c r="D64" s="7" t="inlineStr">
        <is>
          <t>Baraa Koshak</t>
        </is>
      </c>
      <c r="E64" s="7" t="inlineStr">
        <is>
          <t>Founder &amp; CEO</t>
        </is>
      </c>
      <c r="F64" s="7" t="inlineStr">
        <is>
          <t>Abwab.ai</t>
        </is>
      </c>
      <c r="G64" s="7" t="inlineStr">
        <is>
          <t>MENA</t>
        </is>
      </c>
      <c r="H64" s="7" t="inlineStr">
        <is>
          <t>Saudi Arabia</t>
        </is>
      </c>
      <c r="I64" s="8" t="inlineStr">
        <is>
          <t>https://www.linkedin.com/in/baraakoshak</t>
        </is>
      </c>
      <c r="J64" s="9" t="inlineStr">
        <is>
          <t>Yes</t>
        </is>
      </c>
      <c r="K64" s="7" t="inlineStr">
        <is>
          <t>$4M seed led by Speedinvest</t>
        </is>
      </c>
      <c r="L64" s="7" t="inlineStr">
        <is>
          <t>2026-09</t>
        </is>
      </c>
      <c r="M64" s="10" t="inlineStr">
        <is>
          <t>https://www.arabnews.com/startups/saudi-fintech-abwabai-raises-4m-in-seed-round-led-by-speedinvest-3002549</t>
        </is>
      </c>
      <c r="N64" s="7" t="inlineStr">
        <is>
          <t>Not indexed</t>
        </is>
      </c>
      <c r="O64" s="7" t="inlineStr"/>
      <c r="P64" s="7" t="inlineStr">
        <is>
          <t>No own posts indexed. Profile confirmed via Prospeo: ex-Revolut and McKinsey.</t>
        </is>
      </c>
      <c r="Q64" s="7" t="n">
        <v>40</v>
      </c>
      <c r="R64" s="7">
        <f>IF(Q64&gt;=60,"Priority",IF(Q64&gt;=40,"Warm","Nurture"))</f>
        <v/>
      </c>
      <c r="S64" s="7" t="inlineStr">
        <is>
          <t>Revolut and McKinsey on a CV is a strong hook for Saudi fintech buyers and hires. Right now nobody sees it unless they open the profile.</t>
        </is>
      </c>
      <c r="T64" s="7" t="inlineStr">
        <is>
          <t>Hi Baraa, congrats on the seed with Speedinvest.
Revolut to building Abwab in Saudi is an interesting path.
Would be good to connect.</t>
        </is>
      </c>
      <c r="U64" s="7" t="inlineStr">
        <is>
          <t>Thanks for connecting, Baraa.
I couldn't find any posts from you yet.
At seed, is LinkedIn something you want working for hiring and partnerships?</t>
        </is>
      </c>
      <c r="V64" s="7" t="inlineStr">
        <is>
          <t>No posts; Revolut and McKinsey story untold; headline generic.</t>
        </is>
      </c>
      <c r="W64" s="7" t="inlineStr"/>
      <c r="X64" s="9" t="inlineStr">
        <is>
          <t>baraa@abwab.ai</t>
        </is>
      </c>
      <c r="Y64" s="7" t="inlineStr">
        <is>
          <t>Abwab's founder story</t>
        </is>
      </c>
      <c r="Z64" s="7" t="inlineStr">
        <is>
          <t>Hi Baraa,
Congrats on the seed with Speedinvest.
Revolut and McKinsey before Abwab is a story Saudi buyers and hires would follow. Right now it only shows if someone opens your profile.
We turn founder backgrounds into a steady LinkedIn presence.
Want the 3-point teardown of your profile?
Prabal
Gliped | LinkedIn personal branding for founders
Not relevant? Reply "no" and I won't follow up.</t>
        </is>
      </c>
      <c r="AA64" s="7" t="inlineStr">
        <is>
          <t>Verified</t>
        </is>
      </c>
      <c r="AB64" s="7" t="inlineStr">
        <is>
          <t>Prospeo SMTP Founder &amp; CEO; ex-Revolut, McKinsey</t>
        </is>
      </c>
    </row>
    <row r="65" ht="96" customHeight="1">
      <c r="A65" s="7" t="inlineStr">
        <is>
          <t>G064</t>
        </is>
      </c>
      <c r="B65" s="7" t="inlineStr">
        <is>
          <t>03</t>
        </is>
      </c>
      <c r="C65" s="7" t="inlineStr">
        <is>
          <t>2026-10-02</t>
        </is>
      </c>
      <c r="D65" s="7" t="inlineStr">
        <is>
          <t>Mohammad El Mougi</t>
        </is>
      </c>
      <c r="E65" s="7" t="inlineStr">
        <is>
          <t>Co-founder</t>
        </is>
      </c>
      <c r="F65" s="7" t="inlineStr">
        <is>
          <t>Keep Converting</t>
        </is>
      </c>
      <c r="G65" s="7" t="inlineStr">
        <is>
          <t>MENA</t>
        </is>
      </c>
      <c r="H65" s="7" t="inlineStr">
        <is>
          <t>UAE</t>
        </is>
      </c>
      <c r="I65" s="8" t="inlineStr">
        <is>
          <t>https://www.linkedin.com/search/results/people/?keywords=Mohammad%20El%20Mougi%20Keep%20Converting</t>
        </is>
      </c>
      <c r="J65" s="9" t="inlineStr">
        <is>
          <t>No</t>
        </is>
      </c>
      <c r="K65" s="7" t="inlineStr">
        <is>
          <t>$2M pre-seed led by Nuwa Capital and COTU Ventures; exits stealth (AI product pages)</t>
        </is>
      </c>
      <c r="L65" s="7" t="inlineStr">
        <is>
          <t>2026-09</t>
        </is>
      </c>
      <c r="M65" s="10" t="inlineStr">
        <is>
          <t>https://www.wamda.com/2026/09/converting-closes-2-million-pre-seed-led-nuwa-capital-cotu-ventures</t>
        </is>
      </c>
      <c r="N65" s="7" t="inlineStr">
        <is>
          <t>Not indexed</t>
        </is>
      </c>
      <c r="O65" s="7" t="inlineStr"/>
      <c r="P65" s="7" t="inlineStr">
        <is>
          <t>No own posts or confirmed profile found. Company just exited stealth.</t>
        </is>
      </c>
      <c r="Q65" s="7" t="n">
        <v>40</v>
      </c>
      <c r="R65" s="7">
        <f>IF(Q65&gt;=60,"Priority",IF(Q65&gt;=40,"Warm","Nurture"))</f>
        <v/>
      </c>
      <c r="S65" s="7" t="inlineStr">
        <is>
          <t>Coming out of stealth is the moment a founder's profile gets the most visits. Keep Converting sells conversion, so the founder's own page should convert too.</t>
        </is>
      </c>
      <c r="T65" s="7" t="inlineStr">
        <is>
          <t>Hi Mohammad, congrats on the pre-seed and the launch.
AI product pages that convert is a clear pitch.
Would be good to connect.</t>
        </is>
      </c>
      <c r="U65" s="7" t="inlineStr">
        <is>
          <t>Thanks for connecting, Mohammad.
You've just come out of stealth, so people are checking your profile now.
Is LinkedIn part of the launch plan?</t>
        </is>
      </c>
      <c r="V65" s="7" t="inlineStr">
        <is>
          <t>Confirm profile; launch story; profile as a landing page.</t>
        </is>
      </c>
      <c r="W65" s="7" t="inlineStr">
        <is>
          <t>VERIFY PROFILE. No email found.</t>
        </is>
      </c>
      <c r="X65" s="9" t="inlineStr"/>
      <c r="Y65" s="7" t="inlineStr">
        <is>
          <t>Out of stealth</t>
        </is>
      </c>
      <c r="Z65" s="7" t="inlineStr">
        <is>
          <t>Hi Mohammad,
Congrats on the $2M pre-seed and the launch.
Right after stealth is when your profile gets the most visits. Keep Converting sells conversion, so your own LinkedIn should convert too.
We build founder brands on LinkedIn, from positioning to weekly posts.
Want the 3-point teardown instead?
Prabal
Gliped | LinkedIn personal branding for founders
Not relevant? Reply "no" and I won't follow up.</t>
        </is>
      </c>
      <c r="AA65" s="7" t="inlineStr">
        <is>
          <t>Not found</t>
        </is>
      </c>
      <c r="AB65" s="7" t="inlineStr"/>
    </row>
    <row r="66" ht="96" customHeight="1">
      <c r="A66" s="7" t="inlineStr">
        <is>
          <t>G065</t>
        </is>
      </c>
      <c r="B66" s="7" t="inlineStr">
        <is>
          <t>03</t>
        </is>
      </c>
      <c r="C66" s="7" t="inlineStr">
        <is>
          <t>2026-10-02</t>
        </is>
      </c>
      <c r="D66" s="7" t="inlineStr">
        <is>
          <t>Hamad Al-Thunayan</t>
        </is>
      </c>
      <c r="E66" s="7" t="inlineStr">
        <is>
          <t>Co-founder</t>
        </is>
      </c>
      <c r="F66" s="7" t="inlineStr">
        <is>
          <t>Dawraty</t>
        </is>
      </c>
      <c r="G66" s="7" t="inlineStr">
        <is>
          <t>MENA</t>
        </is>
      </c>
      <c r="H66" s="7" t="inlineStr">
        <is>
          <t>Kuwait</t>
        </is>
      </c>
      <c r="I66" s="8" t="inlineStr">
        <is>
          <t>https://www.linkedin.com/search/results/people/?keywords=Hamad%20Al-Thunayan%20Dawraty</t>
        </is>
      </c>
      <c r="J66" s="9" t="inlineStr">
        <is>
          <t>No</t>
        </is>
      </c>
      <c r="K66" s="7" t="inlineStr">
        <is>
          <t>$2M seed with Qatar Development Bank, $10M valuation (edtech)</t>
        </is>
      </c>
      <c r="L66" s="7" t="inlineStr">
        <is>
          <t>2026-09</t>
        </is>
      </c>
      <c r="M66" s="10" t="inlineStr">
        <is>
          <t>https://www.arabnews.com/startups/startup-wrap-funding-momentum-continues-in-mena-despite-regional-headwinds-3002904</t>
        </is>
      </c>
      <c r="N66" s="7" t="inlineStr">
        <is>
          <t>Not indexed</t>
        </is>
      </c>
      <c r="O66" s="7" t="inlineStr"/>
      <c r="P66" s="7" t="inlineStr">
        <is>
          <t>No own posts or confirmed profile found.</t>
        </is>
      </c>
      <c r="Q66" s="7" t="n">
        <v>40</v>
      </c>
      <c r="R66" s="7">
        <f>IF(Q66&gt;=60,"Priority",IF(Q66&gt;=40,"Warm","Nurture"))</f>
        <v/>
      </c>
      <c r="S66" s="7" t="inlineStr">
        <is>
          <t>Edtech in Kuwait sells to parents and schools. A founder voice on learning outcomes builds trust faster than ads.</t>
        </is>
      </c>
      <c r="T66" s="7" t="inlineStr">
        <is>
          <t>Hi Hamad, congrats on the seed round.
Backing from Qatar Development Bank is a strong signal for Dawraty.
Would be good to connect.</t>
        </is>
      </c>
      <c r="U66" s="7" t="inlineStr">
        <is>
          <t>Thanks for connecting, Hamad.
I couldn't find much from you on LinkedIn.
With the round done, is building your own voice there something you're thinking about?</t>
        </is>
      </c>
      <c r="V66" s="7" t="inlineStr">
        <is>
          <t>Confirm profile; parent and school trust content; Gulf expansion story.</t>
        </is>
      </c>
      <c r="W66" s="7" t="inlineStr">
        <is>
          <t>VERIFY PROFILE. No email found. Check co-founders.</t>
        </is>
      </c>
      <c r="X66" s="9" t="inlineStr"/>
      <c r="Y66" s="7" t="inlineStr">
        <is>
          <t>Dawraty's next chapter</t>
        </is>
      </c>
      <c r="Z66" s="7" t="inlineStr">
        <is>
          <t>Hi Hamad,
Congrats on the seed with Qatar Development Bank.
Parents and schools pick edtech they trust, and trust starts with the founder. I couldn't find much from you on LinkedIn yet.
We help founders build that voice, without it eating their week.
Open to a quick call?
Prabal
Gliped | LinkedIn personal branding for founders
Not relevant? Reply "no" and I won't follow up.</t>
        </is>
      </c>
      <c r="AA66" s="7" t="inlineStr">
        <is>
          <t>Not found</t>
        </is>
      </c>
      <c r="AB66" s="7" t="inlineStr"/>
    </row>
    <row r="67" ht="96" customHeight="1">
      <c r="A67" s="7" t="inlineStr">
        <is>
          <t>G066</t>
        </is>
      </c>
      <c r="B67" s="7" t="inlineStr">
        <is>
          <t>03</t>
        </is>
      </c>
      <c r="C67" s="7" t="inlineStr">
        <is>
          <t>2026-10-02</t>
        </is>
      </c>
      <c r="D67" s="7" t="inlineStr">
        <is>
          <t>Purvi Munot</t>
        </is>
      </c>
      <c r="E67" s="7" t="inlineStr">
        <is>
          <t>Co-founder &amp; CEO</t>
        </is>
      </c>
      <c r="F67" s="7" t="inlineStr">
        <is>
          <t>Sav</t>
        </is>
      </c>
      <c r="G67" s="7" t="inlineStr">
        <is>
          <t>MENA</t>
        </is>
      </c>
      <c r="H67" s="7" t="inlineStr">
        <is>
          <t>UAE</t>
        </is>
      </c>
      <c r="I67" s="8" t="inlineStr">
        <is>
          <t>https://www.linkedin.com/in/purvi-munot</t>
        </is>
      </c>
      <c r="J67" s="9" t="inlineStr">
        <is>
          <t>Yes</t>
        </is>
      </c>
      <c r="K67" s="7" t="inlineStr">
        <is>
          <t>$3.5M pre-Series A led by Phoenix Venture Partners; 100k users; Saudi expansion</t>
        </is>
      </c>
      <c r="L67" s="7" t="inlineStr">
        <is>
          <t>2026-09</t>
        </is>
      </c>
      <c r="M67" s="10" t="inlineStr">
        <is>
          <t>https://www.wamda.com/2026/09/phoenix-venture-partners-leads-3-5-million-round-uae-fintech-sav</t>
        </is>
      </c>
      <c r="N67" s="7" t="inlineStr">
        <is>
          <t>Went quiet</t>
        </is>
      </c>
      <c r="O67" s="7" t="inlineStr">
        <is>
          <t>2022-09</t>
        </is>
      </c>
      <c r="P67" s="7" t="inlineStr">
        <is>
          <t>Three own posts indexed, Jul to Sep 2022, around Sav's launch. Nothing indexed since.</t>
        </is>
      </c>
      <c r="Q67" s="7" t="n">
        <v>50</v>
      </c>
      <c r="R67" s="7">
        <f>IF(Q67&gt;=60,"Priority",IF(Q67&gt;=40,"Warm","Nurture"))</f>
        <v/>
      </c>
      <c r="S67" s="7" t="inlineStr">
        <is>
          <t>Sav has 100k users and is entering Saudi. A founder who talks about money habits in the Gulf can be the face of the category.</t>
        </is>
      </c>
      <c r="T67" s="7" t="inlineStr">
        <is>
          <t>Hi Purvi, congrats on the pre-Series A.
100k users and a Saudi launch is real momentum for Sav.
Would be good to connect.</t>
        </is>
      </c>
      <c r="U67" s="7" t="inlineStr">
        <is>
          <t>Thanks for connecting, Purvi.
You posted a lot around Sav's launch in 2022, then it went quiet.
With Saudi coming, would you want that voice back?</t>
        </is>
      </c>
      <c r="V67" s="7" t="inlineStr">
        <is>
          <t>Quiet since 2022; ex-Citi and Mastercard story; Saudi launch content.</t>
        </is>
      </c>
      <c r="W67" s="7" t="inlineStr">
        <is>
          <t>Female founder in Gulf fintech: a strong story angle.</t>
        </is>
      </c>
      <c r="X67" s="9" t="inlineStr">
        <is>
          <t>purvi@sav.money</t>
        </is>
      </c>
      <c r="Y67" s="7" t="inlineStr">
        <is>
          <t>Sav's Saudi launch</t>
        </is>
      </c>
      <c r="Z67" s="7" t="inlineStr">
        <is>
          <t>Hi Purvi,
Congrats on the pre-Series A and 100k users.
You posted a lot around Sav's launch in 2022, then it went quiet. The Saudi launch is a good moment to bring that voice back.
We build founder brands on LinkedIn, from positioning to weekly posts.
Worth a 15-minute call next week?
Prabal
Gliped | LinkedIn personal branding for founders
Not relevant? Reply "no" and I won't follow up.</t>
        </is>
      </c>
      <c r="AA67" s="7" t="inlineStr">
        <is>
          <t>Verified</t>
        </is>
      </c>
      <c r="AB67" s="7" t="inlineStr">
        <is>
          <t>Prospeo SMTP Co-founder &amp; CEO; ex-Citi, Mastercard</t>
        </is>
      </c>
    </row>
    <row r="68" ht="96" customHeight="1">
      <c r="A68" s="7" t="inlineStr">
        <is>
          <t>G067</t>
        </is>
      </c>
      <c r="B68" s="7" t="inlineStr">
        <is>
          <t>03</t>
        </is>
      </c>
      <c r="C68" s="7" t="inlineStr">
        <is>
          <t>2026-10-02</t>
        </is>
      </c>
      <c r="D68" s="7" t="inlineStr">
        <is>
          <t>Hossam Hosny</t>
        </is>
      </c>
      <c r="E68" s="7" t="inlineStr">
        <is>
          <t>Co-founder</t>
        </is>
      </c>
      <c r="F68" s="7" t="inlineStr">
        <is>
          <t>3C Coding School</t>
        </is>
      </c>
      <c r="G68" s="7" t="inlineStr">
        <is>
          <t>MENA</t>
        </is>
      </c>
      <c r="H68" s="7" t="inlineStr">
        <is>
          <t>Egypt</t>
        </is>
      </c>
      <c r="I68" s="8" t="inlineStr">
        <is>
          <t>https://www.linkedin.com/search/results/people/?keywords=Hossam%20Hosny%203C%20Coding%20School</t>
        </is>
      </c>
      <c r="J68" s="9" t="inlineStr">
        <is>
          <t>No</t>
        </is>
      </c>
      <c r="K68" s="7" t="inlineStr">
        <is>
          <t>$3M seed led by MRG Economic Group; Saudi expansion</t>
        </is>
      </c>
      <c r="L68" s="7" t="inlineStr">
        <is>
          <t>2026-09</t>
        </is>
      </c>
      <c r="M68" s="10" t="inlineStr">
        <is>
          <t>https://www.finsmes.com/2026/09/3c-coding-school-raises-3m-in-seed-funding.html</t>
        </is>
      </c>
      <c r="N68" s="7" t="inlineStr">
        <is>
          <t>Not indexed</t>
        </is>
      </c>
      <c r="O68" s="7" t="inlineStr"/>
      <c r="P68" s="7" t="inlineStr">
        <is>
          <t>No own posts or confirmed profile found.</t>
        </is>
      </c>
      <c r="Q68" s="7" t="n">
        <v>40</v>
      </c>
      <c r="R68" s="7">
        <f>IF(Q68&gt;=60,"Priority",IF(Q68&gt;=40,"Warm","Nurture"))</f>
        <v/>
      </c>
      <c r="S68" s="7" t="inlineStr">
        <is>
          <t>Coding schools sell to parents. A founder who explains how kids learn to code builds trust in Egypt and the Saudi market 3C is entering.</t>
        </is>
      </c>
      <c r="T68" s="7" t="inlineStr">
        <is>
          <t>Hi Hossam, congrats on the seed and the Saudi expansion.
Teaching kids to code at scale is good work.
Would be good to connect.</t>
        </is>
      </c>
      <c r="U68" s="7" t="inlineStr">
        <is>
          <t>Thanks for connecting, Hossam.
I couldn't find much from you on LinkedIn.
Is a founder voice part of the Saudi launch plan?</t>
        </is>
      </c>
      <c r="V68" s="7" t="inlineStr">
        <is>
          <t>Confirm profile; parent trust content; Saudi expansion story.</t>
        </is>
      </c>
      <c r="W68" s="7" t="inlineStr">
        <is>
          <t>VERIFY PROFILE. No email found.</t>
        </is>
      </c>
      <c r="X68" s="9" t="inlineStr"/>
      <c r="Y68" s="7" t="inlineStr">
        <is>
          <t>3C in Saudi</t>
        </is>
      </c>
      <c r="Z68" s="7" t="inlineStr">
        <is>
          <t>Hi Hossam,
Congrats on the $3M seed and the Saudi expansion.
Parents choose a coding school they trust, and in a new market that trust starts with the founder. I couldn't find much from you on LinkedIn.
We help founders build a steady voice there.
Open to a quick call?
Prabal
Gliped | LinkedIn personal branding for founders
Not relevant? Reply "no" and I won't follow up.</t>
        </is>
      </c>
      <c r="AA68" s="7" t="inlineStr">
        <is>
          <t>Not found</t>
        </is>
      </c>
      <c r="AB68" s="7" t="inlineStr"/>
    </row>
    <row r="69" ht="96" customHeight="1">
      <c r="A69" s="7" t="inlineStr">
        <is>
          <t>G068</t>
        </is>
      </c>
      <c r="B69" s="7" t="inlineStr">
        <is>
          <t>03</t>
        </is>
      </c>
      <c r="C69" s="7" t="inlineStr">
        <is>
          <t>2026-10-02</t>
        </is>
      </c>
      <c r="D69" s="7" t="inlineStr">
        <is>
          <t>Alaa Afifi</t>
        </is>
      </c>
      <c r="E69" s="7" t="inlineStr">
        <is>
          <t>Founder</t>
        </is>
      </c>
      <c r="F69" s="7" t="inlineStr">
        <is>
          <t>Bekia</t>
        </is>
      </c>
      <c r="G69" s="7" t="inlineStr">
        <is>
          <t>MENA</t>
        </is>
      </c>
      <c r="H69" s="7" t="inlineStr">
        <is>
          <t>Cairo</t>
        </is>
      </c>
      <c r="I69" s="8" t="inlineStr">
        <is>
          <t>https://www.linkedin.com/search/results/people/?keywords=Alaa%20Afifi%20Bekia</t>
        </is>
      </c>
      <c r="J69" s="9" t="inlineStr">
        <is>
          <t>No</t>
        </is>
      </c>
      <c r="K69" s="7" t="inlineStr">
        <is>
          <t>$765k seed led by Madica (recycling platform)</t>
        </is>
      </c>
      <c r="L69" s="7" t="inlineStr">
        <is>
          <t>2026-09</t>
        </is>
      </c>
      <c r="M69" s="10" t="inlineStr">
        <is>
          <t>https://disruptafrica.com/2026/09/21/egypts-bekia-raises-765k-to-scale-recycling-economy-tech/</t>
        </is>
      </c>
      <c r="N69" s="7" t="inlineStr">
        <is>
          <t>Not indexed</t>
        </is>
      </c>
      <c r="O69" s="7" t="inlineStr"/>
      <c r="P69" s="7" t="inlineStr">
        <is>
          <t>Only posts about the founder indexed (Forbes Middle East 30 Under 30, 2023). No own posts found.</t>
        </is>
      </c>
      <c r="Q69" s="7" t="n">
        <v>40</v>
      </c>
      <c r="R69" s="7">
        <f>IF(Q69&gt;=60,"Priority",IF(Q69&gt;=40,"Warm","Nurture"))</f>
        <v/>
      </c>
      <c r="S69" s="7" t="inlineStr">
        <is>
          <t>Others already tell Alaa's story. Recycling in Cairo is a mission people want to follow, so a voice of their own would travel.</t>
        </is>
      </c>
      <c r="T69" s="7" t="inlineStr">
        <is>
          <t>Hi Alaa, congrats on the seed led by Madica.
Turning recycling into an app people use is a smart idea.
Would be good to connect.</t>
        </is>
      </c>
      <c r="U69" s="7" t="inlineStr">
        <is>
          <t>Thanks for connecting, Alaa.
Others post about Bekia more than you do.
Would you want to tell the story yourself on LinkedIn?</t>
        </is>
      </c>
      <c r="V69" s="7" t="inlineStr">
        <is>
          <t>Confirm profile; recognition not converted into own posts; impact story.</t>
        </is>
      </c>
      <c r="W69" s="7" t="inlineStr">
        <is>
          <t>VERIFY PROFILE. No email found.</t>
        </is>
      </c>
      <c r="X69" s="9" t="inlineStr"/>
      <c r="Y69" s="7" t="inlineStr">
        <is>
          <t>Bekia, in your words</t>
        </is>
      </c>
      <c r="Z69" s="7" t="inlineStr">
        <is>
          <t>Hi Alaa,
Congrats on the seed led by Madica.
Others post about Bekia more than you do, from Forbes Middle East to partners. Recycling in Cairo is a mission people want to hear from the founder.
We build founder brands on LinkedIn around stories like yours.
Want the 3-point teardown instead?
Prabal
Gliped | LinkedIn personal branding for founders
Not relevant? Reply "no" and I won't follow up.</t>
        </is>
      </c>
      <c r="AA69" s="7" t="inlineStr">
        <is>
          <t>Not found</t>
        </is>
      </c>
      <c r="AB69" s="7" t="inlineStr"/>
    </row>
    <row r="70" ht="96" customHeight="1">
      <c r="A70" s="7" t="inlineStr">
        <is>
          <t>G069</t>
        </is>
      </c>
      <c r="B70" s="7" t="inlineStr">
        <is>
          <t>03</t>
        </is>
      </c>
      <c r="C70" s="7" t="inlineStr">
        <is>
          <t>2026-10-02</t>
        </is>
      </c>
      <c r="D70" s="7" t="inlineStr">
        <is>
          <t>Taher Alblowe</t>
        </is>
      </c>
      <c r="E70" s="7" t="inlineStr">
        <is>
          <t>Founder &amp; CEO</t>
        </is>
      </c>
      <c r="F70" s="7" t="inlineStr">
        <is>
          <t>Rwaj</t>
        </is>
      </c>
      <c r="G70" s="7" t="inlineStr">
        <is>
          <t>MENA</t>
        </is>
      </c>
      <c r="H70" s="7" t="inlineStr">
        <is>
          <t>Saudi Arabia</t>
        </is>
      </c>
      <c r="I70" s="8" t="inlineStr">
        <is>
          <t>https://www.linkedin.com/in/alblowe</t>
        </is>
      </c>
      <c r="J70" s="9" t="inlineStr">
        <is>
          <t>Yes</t>
        </is>
      </c>
      <c r="K70" s="7" t="inlineStr">
        <is>
          <t>$1.2M pre-seed (live shopping and auction marketplace)</t>
        </is>
      </c>
      <c r="L70" s="7" t="inlineStr">
        <is>
          <t>2026-09</t>
        </is>
      </c>
      <c r="M70" s="10" t="inlineStr">
        <is>
          <t>https://entarabi.com/en/2026/09/saudi-startup-rwaj-raises-1-2-million-in-pre-seed-round/</t>
        </is>
      </c>
      <c r="N70" s="7" t="inlineStr">
        <is>
          <t>Not indexed</t>
        </is>
      </c>
      <c r="O70" s="7" t="inlineStr"/>
      <c r="P70" s="7" t="inlineStr">
        <is>
          <t>Profile confirmed, no posts indexed. Serial founder: ran Geeks Valley for ten years before Rwaj.</t>
        </is>
      </c>
      <c r="Q70" s="7" t="n">
        <v>40</v>
      </c>
      <c r="R70" s="7">
        <f>IF(Q70&gt;=60,"Priority",IF(Q70&gt;=40,"Warm","Nurture"))</f>
        <v/>
      </c>
      <c r="S70" s="7" t="inlineStr">
        <is>
          <t>Live shopping depends on sellers trusting the platform. A second-time founder with ten years of experience is a story sellers will listen to.</t>
        </is>
      </c>
      <c r="T70" s="7" t="inlineStr">
        <is>
          <t>Hi Taher, congrats on the pre-seed.
Live auctions for the region is a bold bet after Geeks Valley.
Would be good to connect.</t>
        </is>
      </c>
      <c r="U70" s="7" t="inlineStr">
        <is>
          <t>Thanks for connecting, Taher.
You have ten years of founder lessons, and none of them are on your LinkedIn yet.
Worth putting them to work for Rwaj?</t>
        </is>
      </c>
      <c r="V70" s="7" t="inlineStr">
        <is>
          <t>No posts; serial founder story untold; seller recruitment content.</t>
        </is>
      </c>
      <c r="W70" s="7" t="inlineStr">
        <is>
          <t>Rwaj is hiring a growth and content lead, so content is already a priority.</t>
        </is>
      </c>
      <c r="X70" s="9" t="inlineStr">
        <is>
          <t>taher@rwaj.co</t>
        </is>
      </c>
      <c r="Y70" s="7" t="inlineStr">
        <is>
          <t>Ten years, one profile</t>
        </is>
      </c>
      <c r="Z70" s="7" t="inlineStr">
        <is>
          <t>Hi Taher,
Congrats on Rwaj's pre-seed.
You ran Geeks Valley for a decade, and none of those lessons are on your LinkedIn yet. Sellers on a live auction platform want to trust the person behind it.
We turn founder experience into a steady LinkedIn presence.
Want the 3-point teardown instead?
Prabal
Gliped | LinkedIn personal branding for founders
Not relevant? Reply "no" and I won't follow up.</t>
        </is>
      </c>
      <c r="AA70" s="7" t="inlineStr">
        <is>
          <t>Verified</t>
        </is>
      </c>
      <c r="AB70" s="7" t="inlineStr">
        <is>
          <t>Prospeo SMTP Founder &amp; CEO Rwaj; ex Geeks Valley founder; Riyadh</t>
        </is>
      </c>
    </row>
    <row r="71" ht="96" customHeight="1">
      <c r="A71" s="7" t="inlineStr">
        <is>
          <t>G070</t>
        </is>
      </c>
      <c r="B71" s="7" t="inlineStr">
        <is>
          <t>03</t>
        </is>
      </c>
      <c r="C71" s="7" t="inlineStr">
        <is>
          <t>2026-10-02</t>
        </is>
      </c>
      <c r="D71" s="7" t="inlineStr">
        <is>
          <t>Wassim Mourad</t>
        </is>
      </c>
      <c r="E71" s="7" t="inlineStr">
        <is>
          <t>CEO</t>
        </is>
      </c>
      <c r="F71" s="7" t="inlineStr">
        <is>
          <t>FMSi</t>
        </is>
      </c>
      <c r="G71" s="7" t="inlineStr">
        <is>
          <t>MENA</t>
        </is>
      </c>
      <c r="H71" s="7" t="inlineStr">
        <is>
          <t>UAE</t>
        </is>
      </c>
      <c r="I71" s="8" t="inlineStr">
        <is>
          <t>https://www.linkedin.com/search/results/people/?keywords=Wassim%20Mourad%20FMSi</t>
        </is>
      </c>
      <c r="J71" s="9" t="inlineStr">
        <is>
          <t>No</t>
        </is>
      </c>
      <c r="K71" s="7" t="inlineStr">
        <is>
          <t>Growth investment from Shorooq and Emirates Growth Fund; Saudi expansion and Gulf M&amp;A</t>
        </is>
      </c>
      <c r="L71" s="7" t="inlineStr">
        <is>
          <t>2026-09</t>
        </is>
      </c>
      <c r="M71" s="10" t="inlineStr">
        <is>
          <t>https://enterpriseam.com/uae/2026/09/16/fmsi-targets-saudi-expansion-gulf-ma-following-shorooq-and-egf-investment/</t>
        </is>
      </c>
      <c r="N71" s="7" t="inlineStr">
        <is>
          <t>Not indexed</t>
        </is>
      </c>
      <c r="O71" s="7" t="inlineStr"/>
      <c r="P71" s="7" t="inlineStr">
        <is>
          <t>No own posts or confirmed profile found.</t>
        </is>
      </c>
      <c r="Q71" s="7" t="n">
        <v>50</v>
      </c>
      <c r="R71" s="7">
        <f>IF(Q71&gt;=60,"Priority",IF(Q71&gt;=40,"Warm","Nurture"))</f>
        <v/>
      </c>
      <c r="S71" s="7" t="inlineStr">
        <is>
          <t>Gulf M&amp;A and a Saudi push mean bankers, targets and hires will look the CEO up. A CEO voice makes those conversations warmer.</t>
        </is>
      </c>
      <c r="T71" s="7" t="inlineStr">
        <is>
          <t>Hi Wassim, congrats on the investment from Shorooq and Emirates Growth Fund.
The Saudi expansion sounds like a big step for FMSi.
Would be good to connect.</t>
        </is>
      </c>
      <c r="U71" s="7" t="inlineStr">
        <is>
          <t>Thanks for connecting, Wassim.
With M&amp;A on the table, targets and partners will be checking your profile.
Is LinkedIn something you want working for you there?</t>
        </is>
      </c>
      <c r="V71" s="7" t="inlineStr">
        <is>
          <t>Confirm profile; M&amp;A and expansion narrative; CEO visibility.</t>
        </is>
      </c>
      <c r="W71" s="7" t="inlineStr">
        <is>
          <t>VERIFY PROFILE. No email found.</t>
        </is>
      </c>
      <c r="X71" s="9" t="inlineStr"/>
      <c r="Y71" s="7" t="inlineStr">
        <is>
          <t>FMSi's Gulf expansion</t>
        </is>
      </c>
      <c r="Z71" s="7" t="inlineStr">
        <is>
          <t>Hi Wassim,
Congrats on the investment from Shorooq and Emirates Growth Fund.
With Saudi expansion and M&amp;A ahead, targets, bankers and hires will look you up. I couldn't find much from you on LinkedIn.
We build CEO profiles that make those conversations warmer.
Worth a 15-minute call?
Prabal
Gliped | LinkedIn personal branding for founders
Not relevant? Reply "no" and I won't follow up.</t>
        </is>
      </c>
      <c r="AA71" s="7" t="inlineStr">
        <is>
          <t>Not found</t>
        </is>
      </c>
      <c r="AB71" s="7" t="inlineStr"/>
    </row>
    <row r="72" ht="96" customHeight="1">
      <c r="A72" s="7" t="inlineStr">
        <is>
          <t>G071</t>
        </is>
      </c>
      <c r="B72" s="7" t="inlineStr">
        <is>
          <t>03</t>
        </is>
      </c>
      <c r="C72" s="7" t="inlineStr">
        <is>
          <t>2026-10-02</t>
        </is>
      </c>
      <c r="D72" s="7" t="inlineStr">
        <is>
          <t>Mohammed Almarshidi</t>
        </is>
      </c>
      <c r="E72" s="7" t="inlineStr">
        <is>
          <t>Co-founder</t>
        </is>
      </c>
      <c r="F72" s="7" t="inlineStr">
        <is>
          <t>RIME</t>
        </is>
      </c>
      <c r="G72" s="7" t="inlineStr">
        <is>
          <t>MENA</t>
        </is>
      </c>
      <c r="H72" s="7" t="inlineStr">
        <is>
          <t>Saudi Arabia</t>
        </is>
      </c>
      <c r="I72" s="8" t="inlineStr">
        <is>
          <t>https://www.linkedin.com/search/results/people/?keywords=Mohammed%20Almarshidi%20RIME</t>
        </is>
      </c>
      <c r="J72" s="9" t="inlineStr">
        <is>
          <t>No</t>
        </is>
      </c>
      <c r="K72" s="7" t="inlineStr">
        <is>
          <t>$2M+ seed led by SEEDRA Ventures (edge AI agents)</t>
        </is>
      </c>
      <c r="L72" s="7" t="inlineStr">
        <is>
          <t>2026-08</t>
        </is>
      </c>
      <c r="M72" s="10" t="inlineStr">
        <is>
          <t>https://www.wamda.com/2026/08/saudi-startup-rime-raises-2-million-seed-round</t>
        </is>
      </c>
      <c r="N72" s="7" t="inlineStr">
        <is>
          <t>Not indexed</t>
        </is>
      </c>
      <c r="O72" s="7" t="inlineStr"/>
      <c r="P72" s="7" t="inlineStr">
        <is>
          <t>No own posts or confirmed profile found.</t>
        </is>
      </c>
      <c r="Q72" s="7" t="n">
        <v>40</v>
      </c>
      <c r="R72" s="7">
        <f>IF(Q72&gt;=60,"Priority",IF(Q72&gt;=40,"Warm","Nurture"))</f>
        <v/>
      </c>
      <c r="S72" s="7" t="inlineStr">
        <is>
          <t>Edge AI agents are hard to explain. A founder who explains them clearly wins enterprise pilots in Saudi.</t>
        </is>
      </c>
      <c r="T72" s="7" t="inlineStr">
        <is>
          <t>Hi Mohammed, congrats on the seed with SEEDRA.
Edge AI agents out of Saudi is a strong niche.
Would be good to connect.</t>
        </is>
      </c>
      <c r="U72" s="7" t="inlineStr">
        <is>
          <t>Thanks for connecting, Mohammed.
I couldn't find posts from you yet.
Is a founder voice on LinkedIn part of how you plan to win enterprise pilots?</t>
        </is>
      </c>
      <c r="V72" s="7" t="inlineStr">
        <is>
          <t>Confirm profile; explain edge AI simply; pilot and customer stories.</t>
        </is>
      </c>
      <c r="W72" s="7" t="inlineStr">
        <is>
          <t>VERIFY PROFILE. No email found.</t>
        </is>
      </c>
      <c r="X72" s="9" t="inlineStr"/>
      <c r="Y72" s="7" t="inlineStr">
        <is>
          <t>RIME, explained</t>
        </is>
      </c>
      <c r="Z72" s="7" t="inlineStr">
        <is>
          <t>Hi Mohammed,
Congrats on the seed with SEEDRA.
Edge AI agents are hard to explain, and enterprise buyers pick founders who explain them clearly. I couldn't find posts from you yet.
We help technical founders build that voice on LinkedIn.
Want the 3-point teardown instead?
Prabal
Gliped | LinkedIn personal branding for founders
Not relevant? Reply "no" and I won't follow up.</t>
        </is>
      </c>
      <c r="AA72" s="7" t="inlineStr">
        <is>
          <t>Not found</t>
        </is>
      </c>
      <c r="AB72" s="7" t="inlineStr"/>
    </row>
    <row r="73" ht="96" customHeight="1">
      <c r="A73" s="7" t="inlineStr">
        <is>
          <t>G072</t>
        </is>
      </c>
      <c r="B73" s="7" t="inlineStr">
        <is>
          <t>03</t>
        </is>
      </c>
      <c r="C73" s="7" t="inlineStr">
        <is>
          <t>2026-10-02</t>
        </is>
      </c>
      <c r="D73" s="7" t="inlineStr">
        <is>
          <t>Ahmed Abaza</t>
        </is>
      </c>
      <c r="E73" s="7" t="inlineStr">
        <is>
          <t>Co-founder &amp; CEO</t>
        </is>
      </c>
      <c r="F73" s="7" t="inlineStr">
        <is>
          <t>Synapse Analytics</t>
        </is>
      </c>
      <c r="G73" s="7" t="inlineStr">
        <is>
          <t>MENA</t>
        </is>
      </c>
      <c r="H73" s="7" t="inlineStr">
        <is>
          <t>Cairo</t>
        </is>
      </c>
      <c r="I73" s="8" t="inlineStr">
        <is>
          <t>https://www.linkedin.com/in/ahmed-fouad-abaza</t>
        </is>
      </c>
      <c r="J73" s="9" t="inlineStr">
        <is>
          <t>Yes</t>
        </is>
      </c>
      <c r="K73" s="7" t="inlineStr">
        <is>
          <t>$13M Series A led by Partech (AI decisioning for lenders)</t>
        </is>
      </c>
      <c r="L73" s="7" t="inlineStr">
        <is>
          <t>2026-09</t>
        </is>
      </c>
      <c r="M73" s="10" t="inlineStr">
        <is>
          <t>https://www.wamda.com/en/2026/09/synapse-analytics-secures-13-million-series-led-partech</t>
        </is>
      </c>
      <c r="N73" s="7" t="inlineStr">
        <is>
          <t>Research voice</t>
        </is>
      </c>
      <c r="O73" s="7" t="inlineStr">
        <is>
          <t>2024-01</t>
        </is>
      </c>
      <c r="P73" s="7" t="inlineStr">
        <is>
          <t>Nine own posts indexed, 2022 to Jan 2024: MLOps, dimensionality reduction, Egypt's AI sector, COP28 AI, an Al Arabiya interview and a 2023 wrap-up. Nothing indexed after Jan 2024.</t>
        </is>
      </c>
      <c r="Q73" s="7" t="n">
        <v>50</v>
      </c>
      <c r="R73" s="7">
        <f>IF(Q73&gt;=60,"Priority",IF(Q73&gt;=40,"Warm","Nurture"))</f>
        <v/>
      </c>
      <c r="S73" s="7" t="inlineStr">
        <is>
          <t>Already writes about AI with authority. The Series A is the moment to turn that into a steady voice that lenders across the region read.</t>
        </is>
      </c>
      <c r="T73" s="7" t="inlineStr">
        <is>
          <t>Hi Ahmed, congrats on the Series A led by Partech.
AI decisioning for lenders is where Synapse fits well.
Would be good to connect.</t>
        </is>
      </c>
      <c r="U73" s="7" t="inlineStr">
        <is>
          <t>Thanks for connecting, Ahmed.
You've written on MLOps and Egypt's AI sector before. The last post I found is from Jan 2024.
Would you want help making that steady again?</t>
        </is>
      </c>
      <c r="V73" s="7" t="inlineStr">
        <is>
          <t>Technical posts with no cadence; lender-facing content; Series A story.</t>
        </is>
      </c>
      <c r="W73" s="7" t="inlineStr">
        <is>
          <t>Writes their own posts. Pitch cadence and distribution, not writing. No verified email.</t>
        </is>
      </c>
      <c r="X73" s="9" t="inlineStr"/>
      <c r="Y73" s="7" t="inlineStr">
        <is>
          <t>Your AI posts, steady</t>
        </is>
      </c>
      <c r="Z73" s="7" t="inlineStr">
        <is>
          <t>Hi Ahmed,
Congrats on the Series A led by Partech.
You've written about MLOps and Egypt's AI sector, but the last post I found is from Jan 2024. Lenders across the region would read you weekly.
We handle cadence, editing and distribution for founders who already write.
Worth a 15-minute call?
Prabal
Gliped | LinkedIn personal branding for founders
Not relevant? Reply "no" and I won't follow up.</t>
        </is>
      </c>
      <c r="AA73" s="7" t="inlineStr">
        <is>
          <t>Not found</t>
        </is>
      </c>
      <c r="AB73" s="7" t="inlineStr"/>
    </row>
    <row r="74" ht="96" customHeight="1">
      <c r="A74" s="7" t="inlineStr">
        <is>
          <t>G073</t>
        </is>
      </c>
      <c r="B74" s="7" t="inlineStr">
        <is>
          <t>03</t>
        </is>
      </c>
      <c r="C74" s="7" t="inlineStr">
        <is>
          <t>2026-10-02</t>
        </is>
      </c>
      <c r="D74" s="7" t="inlineStr">
        <is>
          <t>Ahmed AlSharif</t>
        </is>
      </c>
      <c r="E74" s="7" t="inlineStr">
        <is>
          <t>Co-founder</t>
        </is>
      </c>
      <c r="F74" s="7" t="inlineStr">
        <is>
          <t>Think</t>
        </is>
      </c>
      <c r="G74" s="7" t="inlineStr">
        <is>
          <t>MENA</t>
        </is>
      </c>
      <c r="H74" s="7" t="inlineStr">
        <is>
          <t>Saudi Arabia</t>
        </is>
      </c>
      <c r="I74" s="8" t="inlineStr">
        <is>
          <t>https://www.linkedin.com/search/results/people/?keywords=Ahmed%20AlSharif%20Think</t>
        </is>
      </c>
      <c r="J74" s="9" t="inlineStr">
        <is>
          <t>No</t>
        </is>
      </c>
      <c r="K74" s="7" t="inlineStr">
        <is>
          <t>$8M pre-seed co-led by RAED and Wa'ed (AI infrastructure)</t>
        </is>
      </c>
      <c r="L74" s="7" t="inlineStr">
        <is>
          <t>2026-07</t>
        </is>
      </c>
      <c r="M74" s="10" t="inlineStr">
        <is>
          <t>https://www.wamda.com/en/2026/07/think-gears-gcc-expansion-8-million-pre-seed-funding</t>
        </is>
      </c>
      <c r="N74" s="7" t="inlineStr">
        <is>
          <t>Not indexed</t>
        </is>
      </c>
      <c r="O74" s="7" t="inlineStr"/>
      <c r="P74" s="7" t="inlineStr">
        <is>
          <t>No own posts or confirmed profile found.</t>
        </is>
      </c>
      <c r="Q74" s="7" t="n">
        <v>50</v>
      </c>
      <c r="R74" s="7">
        <f>IF(Q74&gt;=60,"Priority",IF(Q74&gt;=40,"Warm","Nurture"))</f>
        <v/>
      </c>
      <c r="S74" s="7" t="inlineStr">
        <is>
          <t>An $8M pre-seed for AI infrastructure gets attention. The founder who explains the bet becomes the go-to name in GCC AI.</t>
        </is>
      </c>
      <c r="T74" s="7" t="inlineStr">
        <is>
          <t>Hi Ahmed, congrats on the $8M pre-seed.
AI infrastructure built for the GCC is a big bet.
Would be good to connect.</t>
        </is>
      </c>
      <c r="U74" s="7" t="inlineStr">
        <is>
          <t>Thanks for connecting, Ahmed.
A round that size gets people asking who's behind Think.
Is LinkedIn part of how you want to answer that?</t>
        </is>
      </c>
      <c r="V74" s="7" t="inlineStr">
        <is>
          <t>Confirm profile; thesis post; GCC AI commentary.</t>
        </is>
      </c>
      <c r="W74" s="7" t="inlineStr">
        <is>
          <t>VERIFY PROFILE. No email found. Common name: match company carefully.</t>
        </is>
      </c>
      <c r="X74" s="9" t="inlineStr"/>
      <c r="Y74" s="7" t="inlineStr">
        <is>
          <t>Think's $8M bet</t>
        </is>
      </c>
      <c r="Z74" s="7" t="inlineStr">
        <is>
          <t>Hi Ahmed,
Congrats on the $8M pre-seed.
A round that size gets people asking who's behind Think. The founder who explains the bet becomes the go-to name in GCC AI.
We build founder brands on LinkedIn, from positioning to weekly posts.
Open to a quick call?
Prabal
Gliped | LinkedIn personal branding for founders
Not relevant? Reply "no" and I won't follow up.</t>
        </is>
      </c>
      <c r="AA74" s="7" t="inlineStr">
        <is>
          <t>Not found</t>
        </is>
      </c>
      <c r="AB74" s="7" t="inlineStr"/>
    </row>
    <row r="75" ht="96" customHeight="1">
      <c r="A75" s="7" t="inlineStr">
        <is>
          <t>G074</t>
        </is>
      </c>
      <c r="B75" s="7" t="inlineStr">
        <is>
          <t>03</t>
        </is>
      </c>
      <c r="C75" s="7" t="inlineStr">
        <is>
          <t>2026-10-02</t>
        </is>
      </c>
      <c r="D75" s="7" t="inlineStr">
        <is>
          <t>Bader Kalooti</t>
        </is>
      </c>
      <c r="E75" s="7" t="inlineStr">
        <is>
          <t>Founder</t>
        </is>
      </c>
      <c r="F75" s="7" t="inlineStr">
        <is>
          <t>Bundle</t>
        </is>
      </c>
      <c r="G75" s="7" t="inlineStr">
        <is>
          <t>MENA</t>
        </is>
      </c>
      <c r="H75" s="7" t="inlineStr">
        <is>
          <t>UAE</t>
        </is>
      </c>
      <c r="I75" s="8" t="inlineStr">
        <is>
          <t>https://www.linkedin.com/search/results/people/?keywords=Bader%20Kalooti%20Bundle</t>
        </is>
      </c>
      <c r="J75" s="9" t="inlineStr">
        <is>
          <t>No</t>
        </is>
      </c>
      <c r="K75" s="7" t="inlineStr">
        <is>
          <t>$5.5M pre-seed led by Ethereal Ventures and Further (Web3 rewards)</t>
        </is>
      </c>
      <c r="L75" s="7" t="inlineStr">
        <is>
          <t>2026-07</t>
        </is>
      </c>
      <c r="M75" s="10" t="inlineStr">
        <is>
          <t>https://www.wamda.com/2026/07/web3-startup-bundle-launches-5-5-million-pre-seed-round</t>
        </is>
      </c>
      <c r="N75" s="7" t="inlineStr">
        <is>
          <t>Not indexed</t>
        </is>
      </c>
      <c r="O75" s="7" t="inlineStr"/>
      <c r="P75" s="7" t="inlineStr">
        <is>
          <t>Only event-page posts indexed (spoke at Global Blockchain Show as a Binance regional lead). No own posts found.</t>
        </is>
      </c>
      <c r="Q75" s="7" t="n">
        <v>50</v>
      </c>
      <c r="R75" s="7">
        <f>IF(Q75&gt;=60,"Priority",IF(Q75&gt;=40,"Warm","Nurture"))</f>
        <v/>
      </c>
      <c r="S75" s="7" t="inlineStr">
        <is>
          <t>Ex-Binance credibility is a hook in Web3. Bundle needs users and partners, and a founder voice is the fastest way to reach them.</t>
        </is>
      </c>
      <c r="T75" s="7" t="inlineStr">
        <is>
          <t>Hi Bader, congrats on the pre-seed for Bundle.
Web3 rewards after your Binance years makes sense.
Would be good to connect.</t>
        </is>
      </c>
      <c r="U75" s="7" t="inlineStr">
        <is>
          <t>Thanks for connecting, Bader.
Event pages post about you more than you do.
Would you want your own LinkedIn doing that work for Bundle?</t>
        </is>
      </c>
      <c r="V75" s="7" t="inlineStr">
        <is>
          <t>Confirm profile; Binance to founder story; Web3 rewards explainer.</t>
        </is>
      </c>
      <c r="W75" s="7" t="inlineStr">
        <is>
          <t>VERIFY PROFILE. No email found.</t>
        </is>
      </c>
      <c r="X75" s="9" t="inlineStr"/>
      <c r="Y75" s="7" t="inlineStr">
        <is>
          <t>Bundle's founder voice</t>
        </is>
      </c>
      <c r="Z75" s="7" t="inlineStr">
        <is>
          <t>Hi Bader,
Congrats on the $5.5M pre-seed.
Event pages post about you more than you do. In Web3, users and partners follow people, and your Binance years are a strong hook.
We build founder brands on LinkedIn, from positioning to weekly posts.
Worth a 15-minute call?
Prabal
Gliped | LinkedIn personal branding for founders
Not relevant? Reply "no" and I won't follow up.</t>
        </is>
      </c>
      <c r="AA75" s="7" t="inlineStr">
        <is>
          <t>Not found</t>
        </is>
      </c>
      <c r="AB75" s="7" t="inlineStr"/>
    </row>
    <row r="76" ht="96" customHeight="1">
      <c r="A76" s="7" t="inlineStr">
        <is>
          <t>G075</t>
        </is>
      </c>
      <c r="B76" s="7" t="inlineStr">
        <is>
          <t>03</t>
        </is>
      </c>
      <c r="C76" s="7" t="inlineStr">
        <is>
          <t>2026-10-02</t>
        </is>
      </c>
      <c r="D76" s="7" t="inlineStr">
        <is>
          <t>Samer Gharaibeh</t>
        </is>
      </c>
      <c r="E76" s="7" t="inlineStr">
        <is>
          <t>Founder &amp; CEO</t>
        </is>
      </c>
      <c r="F76" s="7" t="inlineStr">
        <is>
          <t>Mylerz</t>
        </is>
      </c>
      <c r="G76" s="7" t="inlineStr">
        <is>
          <t>MENA</t>
        </is>
      </c>
      <c r="H76" s="7" t="inlineStr">
        <is>
          <t>Egypt</t>
        </is>
      </c>
      <c r="I76" s="8" t="inlineStr">
        <is>
          <t>https://www.linkedin.com/search/results/people/?keywords=Samer%20Gharaibeh%20Mylerz</t>
        </is>
      </c>
      <c r="J76" s="9" t="inlineStr">
        <is>
          <t>No</t>
        </is>
      </c>
      <c r="K76" s="7" t="inlineStr">
        <is>
          <t>EGP 100M+ (about $2M) for domestic expansion (last-mile logistics)</t>
        </is>
      </c>
      <c r="L76" s="7" t="inlineStr">
        <is>
          <t>2026-07</t>
        </is>
      </c>
      <c r="M76" s="10" t="inlineStr">
        <is>
          <t>https://enterpriseam.com/egypt/2026/07/15/mylerz-raises-over-egp-100-mn-to-fund-domestic-expansion/</t>
        </is>
      </c>
      <c r="N76" s="7" t="inlineStr">
        <is>
          <t>Not indexed</t>
        </is>
      </c>
      <c r="O76" s="7" t="inlineStr"/>
      <c r="P76" s="7" t="inlineStr">
        <is>
          <t>Only posts about the founder indexed (described as a logistics veteran turned tech founder). No own posts found.</t>
        </is>
      </c>
      <c r="Q76" s="7" t="n">
        <v>50</v>
      </c>
      <c r="R76" s="7">
        <f>IF(Q76&gt;=60,"Priority",IF(Q76&gt;=40,"Warm","Nurture"))</f>
        <v/>
      </c>
      <c r="S76" s="7" t="inlineStr">
        <is>
          <t>A logistics veteran with a large fleet. E-commerce brands in Egypt would follow that view on last-mile delivery.</t>
        </is>
      </c>
      <c r="T76" s="7" t="inlineStr">
        <is>
          <t>Hi Samer, congrats on the new funding for Mylerz.
Same-day delivery across Egypt is hard to do well.
Would be good to connect.</t>
        </is>
      </c>
      <c r="U76" s="7" t="inlineStr">
        <is>
          <t>Thanks for connecting, Samer.
Others call you a logistics veteran, but your own LinkedIn is quiet.
Would you want that experience working for Mylerz?</t>
        </is>
      </c>
      <c r="V76" s="7" t="inlineStr">
        <is>
          <t>Confirm profile; last-mile insights; merchant-facing content.</t>
        </is>
      </c>
      <c r="W76" s="7" t="inlineStr">
        <is>
          <t>VERIFY PROFILE. No email found. Trigger is Jul 2026.</t>
        </is>
      </c>
      <c r="X76" s="9" t="inlineStr"/>
      <c r="Y76" s="7" t="inlineStr">
        <is>
          <t>Mylerz, from the founder</t>
        </is>
      </c>
      <c r="Z76" s="7" t="inlineStr">
        <is>
          <t>Hi Samer,
Congrats on the new funding for Mylerz.
Others call you a logistics veteran, but your own LinkedIn is quiet. Merchants in Egypt would follow your view on last-mile delivery.
We turn founder experience into a steady LinkedIn presence.
Open to a quick call?
Prabal
Gliped | LinkedIn personal branding for founders
Not relevant? Reply "no" and I won't follow up.</t>
        </is>
      </c>
      <c r="AA76" s="7" t="inlineStr">
        <is>
          <t>Not found</t>
        </is>
      </c>
      <c r="AB76" s="7" t="inlineStr"/>
    </row>
    <row r="77" ht="96" customHeight="1">
      <c r="A77" s="7" t="inlineStr">
        <is>
          <t>G076</t>
        </is>
      </c>
      <c r="B77" s="7" t="inlineStr">
        <is>
          <t>03</t>
        </is>
      </c>
      <c r="C77" s="7" t="inlineStr">
        <is>
          <t>2026-10-02</t>
        </is>
      </c>
      <c r="D77" s="7" t="inlineStr">
        <is>
          <t>Osama AlRaee</t>
        </is>
      </c>
      <c r="E77" s="7" t="inlineStr">
        <is>
          <t>Co-founder</t>
        </is>
      </c>
      <c r="F77" s="7" t="inlineStr">
        <is>
          <t>Lendo</t>
        </is>
      </c>
      <c r="G77" s="7" t="inlineStr">
        <is>
          <t>MENA</t>
        </is>
      </c>
      <c r="H77" s="7" t="inlineStr">
        <is>
          <t>Riyadh</t>
        </is>
      </c>
      <c r="I77" s="8" t="inlineStr">
        <is>
          <t>https://www.linkedin.com/search/results/people/?keywords=Osama%20AlRaee%20Lendo</t>
        </is>
      </c>
      <c r="J77" s="9" t="inlineStr">
        <is>
          <t>No</t>
        </is>
      </c>
      <c r="K77" s="7" t="inlineStr">
        <is>
          <t>Up to SAR 750M ($200M) SME financing programme with Quantic</t>
        </is>
      </c>
      <c r="L77" s="7" t="inlineStr">
        <is>
          <t>2026-09</t>
        </is>
      </c>
      <c r="M77" s="10" t="inlineStr">
        <is>
          <t>https://www.wamda.com/2026/09/lendo-quantic-launch-200-million-sme-financing-programme-saudi-arabia</t>
        </is>
      </c>
      <c r="N77" s="7" t="inlineStr">
        <is>
          <t>Not indexed</t>
        </is>
      </c>
      <c r="O77" s="7" t="inlineStr"/>
      <c r="P77" s="7" t="inlineStr">
        <is>
          <t>Only others' posts about Lendo indexed (co-founder Mohamed Jawabri's Series B post, Dec 2023). No own posts found.</t>
        </is>
      </c>
      <c r="Q77" s="7" t="n">
        <v>50</v>
      </c>
      <c r="R77" s="7">
        <f>IF(Q77&gt;=60,"Priority",IF(Q77&gt;=40,"Warm","Nurture"))</f>
        <v/>
      </c>
      <c r="S77" s="7" t="inlineStr">
        <is>
          <t>Lendo is a licensed SME lender heading toward an IPO. A CEO voice builds trust with SMEs and investors.</t>
        </is>
      </c>
      <c r="T77" s="7" t="inlineStr">
        <is>
          <t>Hi Osama, congrats on the SME financing programme with Quantic.
SAR 750M for Saudi SMEs is a big commitment.
Would be good to connect.</t>
        </is>
      </c>
      <c r="U77" s="7" t="inlineStr">
        <is>
          <t>Thanks for connecting, Osama.
Your co-founder posts Lendo's news more than you do.
With an IPO on the horizon, is your own voice worth building?</t>
        </is>
      </c>
      <c r="V77" s="7" t="inlineStr">
        <is>
          <t>Confirm profile; IPO-track CEO visibility; SME credit commentary.</t>
        </is>
      </c>
      <c r="W77" s="7" t="inlineStr">
        <is>
          <t>VERIFY PROFILE. No email found. Co-founder Mohamed Jawabri posts; check who leads comms.</t>
        </is>
      </c>
      <c r="X77" s="9" t="inlineStr"/>
      <c r="Y77" s="7" t="inlineStr">
        <is>
          <t>Lendo's CEO voice</t>
        </is>
      </c>
      <c r="Z77" s="7" t="inlineStr">
        <is>
          <t>Hi Osama,
Congrats on the SAR 750M programme with Quantic.
Your co-founder posts Lendo's news more than you do. On the road to an IPO, investors and SMEs will want to hear from the CEO.
We build CEO brands on LinkedIn, steadily and credibly.
Worth a 15-minute call?
Prabal
Gliped | LinkedIn personal branding for founders
Not relevant? Reply "no" and I won't follow up.</t>
        </is>
      </c>
      <c r="AA77" s="7" t="inlineStr">
        <is>
          <t>Not found</t>
        </is>
      </c>
      <c r="AB77" s="7" t="inlineStr"/>
    </row>
    <row r="78" ht="96" customHeight="1">
      <c r="A78" s="7" t="inlineStr">
        <is>
          <t>G077</t>
        </is>
      </c>
      <c r="B78" s="7" t="inlineStr">
        <is>
          <t>03</t>
        </is>
      </c>
      <c r="C78" s="7" t="inlineStr">
        <is>
          <t>2026-10-02</t>
        </is>
      </c>
      <c r="D78" s="7" t="inlineStr">
        <is>
          <t>Ladi Delano</t>
        </is>
      </c>
      <c r="E78" s="7" t="inlineStr">
        <is>
          <t>Co-founder &amp; CEO</t>
        </is>
      </c>
      <c r="F78" s="7" t="inlineStr">
        <is>
          <t>Moove</t>
        </is>
      </c>
      <c r="G78" s="7" t="inlineStr">
        <is>
          <t>MENA</t>
        </is>
      </c>
      <c r="H78" s="7" t="inlineStr">
        <is>
          <t>UAE</t>
        </is>
      </c>
      <c r="I78" s="8" t="inlineStr">
        <is>
          <t>https://www.linkedin.com/in/ladidelano</t>
        </is>
      </c>
      <c r="J78" s="9" t="inlineStr">
        <is>
          <t>Yes</t>
        </is>
      </c>
      <c r="K78" s="7" t="inlineStr">
        <is>
          <t>$250M Series C at $2.1B valuation led by Mubadala (autonomous mobility)</t>
        </is>
      </c>
      <c r="L78" s="7" t="inlineStr">
        <is>
          <t>2026-08</t>
        </is>
      </c>
      <c r="M78" s="10" t="inlineStr">
        <is>
          <t>https://www.connectingafrica.com/investment/moove-raises-250m-in-series-c-round-valuation-hits-2-1b</t>
        </is>
      </c>
      <c r="N78" s="7" t="inlineStr">
        <is>
          <t>Company-page voice</t>
        </is>
      </c>
      <c r="O78" s="7" t="inlineStr"/>
      <c r="P78" s="7" t="inlineStr">
        <is>
          <t>No own posts indexed. Moove's company page and press carry the story.</t>
        </is>
      </c>
      <c r="Q78" s="7" t="n">
        <v>50</v>
      </c>
      <c r="R78" s="7">
        <f>IF(Q78&gt;=60,"Priority",IF(Q78&gt;=40,"Warm","Nurture"))</f>
        <v/>
      </c>
      <c r="S78" s="7" t="inlineStr">
        <is>
          <t>Moove is a $2.1B company moving into autonomous fleets. Large company: offer to work alongside the comms team on Ladi's own voice.</t>
        </is>
      </c>
      <c r="T78" s="7" t="inlineStr">
        <is>
          <t>Hi Ladi, congrats on the Series C.
Moving Moove into autonomous fleets is a bold next chapter.
Would be good to connect.</t>
        </is>
      </c>
      <c r="U78" s="7" t="inlineStr">
        <is>
          <t>Thanks for connecting, Ladi.
Moove's page tells the company story well, but your own feed is quiet.
Would your comms team want support on a founder voice?</t>
        </is>
      </c>
      <c r="V78" s="7" t="inlineStr">
        <is>
          <t>Company page does the talking; founder story from JCDecaux to Moove; autonomy thesis.</t>
        </is>
      </c>
      <c r="W78" s="7" t="inlineStr">
        <is>
          <t>Large company. Offer to work alongside comms. Prospeo lists the role as Co-founder and CEO; press says Co-CEO.</t>
        </is>
      </c>
      <c r="X78" s="9" t="inlineStr">
        <is>
          <t>ladi.delano@moove.io</t>
        </is>
      </c>
      <c r="Y78" s="7" t="inlineStr">
        <is>
          <t>Your voice, alongside Moove's</t>
        </is>
      </c>
      <c r="Z78" s="7" t="inlineStr">
        <is>
          <t>Hi Ladi,
Congrats on the $250M Series C.
Moove's page tells the company story well, but your own feed is quiet. The move into autonomous fleets is a founder story people want from you.
We work alongside comms teams to build founder voices on LinkedIn.
Open to a quick call?
Prabal
Gliped | LinkedIn personal branding for founders
Not relevant? Reply "no" and I won't follow up.</t>
        </is>
      </c>
      <c r="AA78" s="7" t="inlineStr">
        <is>
          <t>Verified</t>
        </is>
      </c>
      <c r="AB78" s="7" t="inlineStr">
        <is>
          <t>Prospeo SMTP Co-Founder and CEO Moove; Dubai; ex-CEO JCDecaux (Africa)</t>
        </is>
      </c>
    </row>
    <row r="79" ht="96" customHeight="1">
      <c r="A79" s="7" t="inlineStr">
        <is>
          <t>G078</t>
        </is>
      </c>
      <c r="B79" s="7" t="inlineStr">
        <is>
          <t>03</t>
        </is>
      </c>
      <c r="C79" s="7" t="inlineStr">
        <is>
          <t>2026-10-02</t>
        </is>
      </c>
      <c r="D79" s="7" t="inlineStr">
        <is>
          <t>Omar Abu Innab</t>
        </is>
      </c>
      <c r="E79" s="7" t="inlineStr">
        <is>
          <t>Co-founder &amp; CEO</t>
        </is>
      </c>
      <c r="F79" s="7" t="inlineStr">
        <is>
          <t>Keyper</t>
        </is>
      </c>
      <c r="G79" s="7" t="inlineStr">
        <is>
          <t>MENA</t>
        </is>
      </c>
      <c r="H79" s="7" t="inlineStr">
        <is>
          <t>Dubai</t>
        </is>
      </c>
      <c r="I79" s="8" t="inlineStr">
        <is>
          <t>https://www.linkedin.com/search/results/people/?keywords=Omar%20Abu%20Innab%20Keyper</t>
        </is>
      </c>
      <c r="J79" s="9" t="inlineStr">
        <is>
          <t>No</t>
        </is>
      </c>
      <c r="K79" s="7" t="inlineStr">
        <is>
          <t>$11M Series A (monthly rent payments)</t>
        </is>
      </c>
      <c r="L79" s="7" t="inlineStr">
        <is>
          <t>2026-07</t>
        </is>
      </c>
      <c r="M79" s="10" t="inlineStr">
        <is>
          <t>https://www.finsmes.com/2026/07/keyper-raises-11m-in-series-a-funding.html</t>
        </is>
      </c>
      <c r="N79" s="7" t="inlineStr">
        <is>
          <t>Not indexed</t>
        </is>
      </c>
      <c r="O79" s="7" t="inlineStr"/>
      <c r="P79" s="7" t="inlineStr">
        <is>
          <t>Only a media page post about Keyper indexed (2022). No own posts found.</t>
        </is>
      </c>
      <c r="Q79" s="7" t="n">
        <v>50</v>
      </c>
      <c r="R79" s="7">
        <f>IF(Q79&gt;=60,"Priority",IF(Q79&gt;=40,"Warm","Nurture"))</f>
        <v/>
      </c>
      <c r="S79" s="7" t="inlineStr">
        <is>
          <t>Monthly rent is a change landlords resist. A founder who explains it well wins landlords and tenants.</t>
        </is>
      </c>
      <c r="T79" s="7" t="inlineStr">
        <is>
          <t>Hi Omar, congrats on the Series A.
Monthly rent in the UAE is a change a lot of tenants want.
Would be good to connect.</t>
        </is>
      </c>
      <c r="U79" s="7" t="inlineStr">
        <is>
          <t>Thanks for connecting, Omar.
I couldn't find much from you on LinkedIn.
Is your own voice part of how you want to win landlords over?</t>
        </is>
      </c>
      <c r="V79" s="7" t="inlineStr">
        <is>
          <t>Confirm profile; landlord and tenant education; Series A story.</t>
        </is>
      </c>
      <c r="W79" s="7" t="inlineStr">
        <is>
          <t>VERIFY PROFILE. No email found. Trigger is Jul 2026.</t>
        </is>
      </c>
      <c r="X79" s="9" t="inlineStr"/>
      <c r="Y79" s="7" t="inlineStr">
        <is>
          <t>Keyper's founder story</t>
        </is>
      </c>
      <c r="Z79" s="7" t="inlineStr">
        <is>
          <t>Hi Omar,
Congrats on the $11M Series A.
Monthly rent is a change landlords need convincing on, and they trust people more than apps. I couldn't find much from you on LinkedIn.
We build founder brands on LinkedIn, from positioning to weekly posts.
Worth a 15-minute call?
Prabal
Gliped | LinkedIn personal branding for founders
Not relevant? Reply "no" and I won't follow up.</t>
        </is>
      </c>
      <c r="AA79" s="7" t="inlineStr">
        <is>
          <t>Not found</t>
        </is>
      </c>
      <c r="AB79" s="7" t="inlineStr"/>
    </row>
    <row r="80" ht="96" customHeight="1">
      <c r="A80" s="7" t="inlineStr">
        <is>
          <t>G079</t>
        </is>
      </c>
      <c r="B80" s="7" t="inlineStr">
        <is>
          <t>03</t>
        </is>
      </c>
      <c r="C80" s="7" t="inlineStr">
        <is>
          <t>2026-10-02</t>
        </is>
      </c>
      <c r="D80" s="7" t="inlineStr">
        <is>
          <t>Tareq Dalbah</t>
        </is>
      </c>
      <c r="E80" s="7" t="inlineStr">
        <is>
          <t>Co-founder &amp; CEO</t>
        </is>
      </c>
      <c r="F80" s="7" t="inlineStr">
        <is>
          <t>Arab Therapy</t>
        </is>
      </c>
      <c r="G80" s="7" t="inlineStr">
        <is>
          <t>MENA</t>
        </is>
      </c>
      <c r="H80" s="7" t="inlineStr">
        <is>
          <t>Berlin / MENA</t>
        </is>
      </c>
      <c r="I80" s="8" t="inlineStr">
        <is>
          <t>https://www.linkedin.com/search/results/people/?keywords=Tareq%20Dalbah%20Arab%20Therapy</t>
        </is>
      </c>
      <c r="J80" s="9" t="inlineStr">
        <is>
          <t>No</t>
        </is>
      </c>
      <c r="K80" s="7" t="inlineStr">
        <is>
          <t>$2M pre-Series A led by Manara Ventures (Arabic online therapy)</t>
        </is>
      </c>
      <c r="L80" s="7" t="inlineStr">
        <is>
          <t>2026-08</t>
        </is>
      </c>
      <c r="M80" s="10" t="inlineStr">
        <is>
          <t>https://entarabi.com/en/2026/08/arab-therapy-raises-2-million-in-pre-ser/</t>
        </is>
      </c>
      <c r="N80" s="7" t="inlineStr">
        <is>
          <t>Not indexed</t>
        </is>
      </c>
      <c r="O80" s="7" t="inlineStr"/>
      <c r="P80" s="7" t="inlineStr">
        <is>
          <t>No own posts indexed.</t>
        </is>
      </c>
      <c r="Q80" s="7" t="n">
        <v>40</v>
      </c>
      <c r="R80" s="7">
        <f>IF(Q80&gt;=60,"Priority",IF(Q80&gt;=40,"Warm","Nurture"))</f>
        <v/>
      </c>
      <c r="S80" s="7" t="inlineStr">
        <is>
          <t>Mental health in Arabic is a sensitive and personal topic. A founder voice that is careful and human builds trust.</t>
        </is>
      </c>
      <c r="T80" s="7" t="inlineStr">
        <is>
          <t>Hi Tareq, congrats on the pre-Series A.
Online therapy in Arabic fills a real gap.
Would be good to connect.</t>
        </is>
      </c>
      <c r="U80" s="7" t="inlineStr">
        <is>
          <t>Thanks for connecting, Tareq.
I couldn't find much from you on LinkedIn.
Would a careful founder voice help Arab Therapy reach more people?</t>
        </is>
      </c>
      <c r="V80" s="7" t="inlineStr">
        <is>
          <t>Confirm profile; why Arab Therapy exists; measured tone.</t>
        </is>
      </c>
      <c r="W80" s="7" t="inlineStr">
        <is>
          <t>VERIFY PROFILE. No email found. Sensitive topic, keep it measured. Based between Berlin and Amman.</t>
        </is>
      </c>
      <c r="X80" s="9" t="inlineStr"/>
      <c r="Y80" s="7" t="inlineStr">
        <is>
          <t>Arab Therapy's story</t>
        </is>
      </c>
      <c r="Z80" s="7" t="inlineStr">
        <is>
          <t>Hi Tareq,
Congrats on the pre-Series A.
Online therapy in Arabic is personal, and people trust a founder they can hear from. I couldn't find much from you on LinkedIn.
We build founder voices carefully and in a measured tone.
Open to a quick call?
Prabal
Gliped | LinkedIn personal branding for founders
Not relevant? Reply "no" and I won't follow up.</t>
        </is>
      </c>
      <c r="AA80" s="7" t="inlineStr">
        <is>
          <t>Not found</t>
        </is>
      </c>
      <c r="AB80" s="7" t="inlineStr"/>
    </row>
    <row r="81" ht="96" customHeight="1">
      <c r="A81" s="7" t="inlineStr">
        <is>
          <t>G080</t>
        </is>
      </c>
      <c r="B81" s="7" t="inlineStr">
        <is>
          <t>03</t>
        </is>
      </c>
      <c r="C81" s="7" t="inlineStr">
        <is>
          <t>2026-10-02</t>
        </is>
      </c>
      <c r="D81" s="7" t="inlineStr">
        <is>
          <t>Mohammed Al-Mubayed</t>
        </is>
      </c>
      <c r="E81" s="7" t="inlineStr">
        <is>
          <t>Founder &amp; CEO</t>
        </is>
      </c>
      <c r="F81" s="7" t="inlineStr">
        <is>
          <t>Fitting</t>
        </is>
      </c>
      <c r="G81" s="7" t="inlineStr">
        <is>
          <t>MENA</t>
        </is>
      </c>
      <c r="H81" s="7" t="inlineStr">
        <is>
          <t>Saudi Arabia</t>
        </is>
      </c>
      <c r="I81" s="8" t="inlineStr">
        <is>
          <t>https://www.linkedin.com/search/results/people/?keywords=Mohammed%20Al-Mubayed%20Fitting</t>
        </is>
      </c>
      <c r="J81" s="9" t="inlineStr">
        <is>
          <t>No</t>
        </is>
      </c>
      <c r="K81" s="7" t="inlineStr">
        <is>
          <t>$1.1M second seed (construction materials platform)</t>
        </is>
      </c>
      <c r="L81" s="7" t="inlineStr">
        <is>
          <t>2026-08</t>
        </is>
      </c>
      <c r="M81" s="10" t="inlineStr">
        <is>
          <t>https://www.wamda.com/2026/08/saudi-contech-fitting-raises-1-1-million-seed-fuel-expansion</t>
        </is>
      </c>
      <c r="N81" s="7" t="inlineStr">
        <is>
          <t>Not indexed</t>
        </is>
      </c>
      <c r="O81" s="7" t="inlineStr"/>
      <c r="P81" s="7" t="inlineStr">
        <is>
          <t>No own posts or confirmed profile found.</t>
        </is>
      </c>
      <c r="Q81" s="7" t="n">
        <v>40</v>
      </c>
      <c r="R81" s="7">
        <f>IF(Q81&gt;=60,"Priority",IF(Q81&gt;=40,"Warm","Nurture"))</f>
        <v/>
      </c>
      <c r="S81" s="7" t="inlineStr">
        <is>
          <t>Construction buyers trust people they know. A founder voice on materials sourcing builds that trust.</t>
        </is>
      </c>
      <c r="T81" s="7" t="inlineStr">
        <is>
          <t>Hi Mohammed, congrats on the new seed round.
A materials platform for Saudi construction is well timed.
Would be good to connect.</t>
        </is>
      </c>
      <c r="U81" s="7" t="inlineStr">
        <is>
          <t>Thanks for connecting, Mohammed.
I couldn't find posts from you yet.
Is LinkedIn part of how you want to reach contractors?</t>
        </is>
      </c>
      <c r="V81" s="7" t="inlineStr">
        <is>
          <t>Confirm profile; contractor-facing content; expansion story.</t>
        </is>
      </c>
      <c r="W81" s="7" t="inlineStr">
        <is>
          <t>VERIFY PROFILE. No email found.</t>
        </is>
      </c>
      <c r="X81" s="9" t="inlineStr"/>
      <c r="Y81" s="7" t="inlineStr">
        <is>
          <t>Fitting's next stage</t>
        </is>
      </c>
      <c r="Z81" s="7" t="inlineStr">
        <is>
          <t>Hi Mohammed,
Congrats on the new seed round.
Contractors buy from people they know. A founder voice on materials sourcing is how Fitting gets known before the sales call.
We build founder brands on LinkedIn, from positioning to weekly posts.
Want the 3-point teardown instead?
Prabal
Gliped | LinkedIn personal branding for founders
Not relevant? Reply "no" and I won't follow up.</t>
        </is>
      </c>
      <c r="AA81" s="7" t="inlineStr">
        <is>
          <t>Not found</t>
        </is>
      </c>
      <c r="AB81" s="7" t="inlineStr"/>
    </row>
    <row r="82" ht="96" customHeight="1">
      <c r="A82" s="7" t="inlineStr">
        <is>
          <t>G081</t>
        </is>
      </c>
      <c r="B82" s="7" t="inlineStr">
        <is>
          <t>03</t>
        </is>
      </c>
      <c r="C82" s="7" t="inlineStr">
        <is>
          <t>2026-10-02</t>
        </is>
      </c>
      <c r="D82" s="7" t="inlineStr">
        <is>
          <t>Matt Wilson</t>
        </is>
      </c>
      <c r="E82" s="7" t="inlineStr">
        <is>
          <t>Co-founder &amp; CEO</t>
        </is>
      </c>
      <c r="F82" s="7" t="inlineStr">
        <is>
          <t>Jack &amp; Jill</t>
        </is>
      </c>
      <c r="G82" s="7" t="inlineStr">
        <is>
          <t>UK</t>
        </is>
      </c>
      <c r="H82" s="7" t="inlineStr">
        <is>
          <t>London</t>
        </is>
      </c>
      <c r="I82" s="8" t="inlineStr">
        <is>
          <t>https://www.linkedin.com/in/matthew-wilson-671a757a</t>
        </is>
      </c>
      <c r="J82" s="9" t="inlineStr">
        <is>
          <t>Yes</t>
        </is>
      </c>
      <c r="K82" s="7" t="inlineStr">
        <is>
          <t>$40M Series A led by Air Street Capital (AI hiring agents)</t>
        </is>
      </c>
      <c r="L82" s="7" t="inlineStr">
        <is>
          <t>2026-09</t>
        </is>
      </c>
      <c r="M82" s="10" t="inlineStr">
        <is>
          <t>https://www.eu-startups.com/2026/09/london-based-jack-jill-raises-e34-68-million-series-a-to-scale-its-ai-agents-for-jobseekers-and-employers</t>
        </is>
      </c>
      <c r="N82" s="7" t="inlineStr">
        <is>
          <t>Milestone-only</t>
        </is>
      </c>
      <c r="O82" s="7" t="inlineStr">
        <is>
          <t>2025-10</t>
        </is>
      </c>
      <c r="P82" s="7" t="inlineStr">
        <is>
          <t>One own post indexed: the $20M seed announcement (Oct 2025). Second-time founder (co-founded Omnipresent).</t>
        </is>
      </c>
      <c r="Q82" s="7" t="n">
        <v>50</v>
      </c>
      <c r="R82" s="7">
        <f>IF(Q82&gt;=60,"Priority",IF(Q82&gt;=40,"Warm","Nurture"))</f>
        <v/>
      </c>
      <c r="S82" s="7" t="inlineStr">
        <is>
          <t>Jack &amp; Jill sells AI agents that replace parts of recruiting, so candidates and hiring managers look at the founder. A steady voice turns those visits into users.</t>
        </is>
      </c>
      <c r="T82" s="7" t="inlineStr">
        <is>
          <t>Hi Matt, congrats on the Series A.
Two AI agents, one for candidates and one for companies, is a neat design.
Would be good to connect.</t>
        </is>
      </c>
      <c r="U82" s="7" t="inlineStr">
        <is>
          <t>Thanks for connecting, Matt.
The last post I found from you is the seed in Oct 2025.
With the Series A out, do you want a steadier voice there?</t>
        </is>
      </c>
      <c r="V82" s="7" t="inlineStr">
        <is>
          <t>Posts at raises only; Omnipresent lessons; hiring market views.</t>
        </is>
      </c>
      <c r="W82" s="7" t="inlineStr">
        <is>
          <t>Prospeo shows a US (New York) location; company is London-based.</t>
        </is>
      </c>
      <c r="X82" s="9" t="inlineStr">
        <is>
          <t>matthew@jackandjill.ai</t>
        </is>
      </c>
      <c r="Y82" s="7" t="inlineStr">
        <is>
          <t>Jack &amp; Jill's Series A</t>
        </is>
      </c>
      <c r="Z82" s="7" t="inlineStr">
        <is>
          <t>Hi Matt,
Congrats on the $40M Series A.
The last post I found from you is the seed in Oct 2025. Candidates and hiring managers check the founder before they trust an AI recruiter.
We build founder brands on LinkedIn, from positioning to weekly posts.
Worth a 15-minute call next week?
Prabal
Gliped | LinkedIn personal branding for founders
Not relevant? Reply "no" and I won't follow up.</t>
        </is>
      </c>
      <c r="AA82" s="7" t="inlineStr">
        <is>
          <t>Verified</t>
        </is>
      </c>
      <c r="AB82" s="7" t="inlineStr">
        <is>
          <t>Prospeo SMTP Co-founder &amp; CEO; ex co-founder/co-CEO Omnipresent; Prospeo location shows US (NY timezone)</t>
        </is>
      </c>
    </row>
    <row r="83" ht="96" customHeight="1">
      <c r="A83" s="7" t="inlineStr">
        <is>
          <t>G082</t>
        </is>
      </c>
      <c r="B83" s="7" t="inlineStr">
        <is>
          <t>03</t>
        </is>
      </c>
      <c r="C83" s="7" t="inlineStr">
        <is>
          <t>2026-10-02</t>
        </is>
      </c>
      <c r="D83" s="7" t="inlineStr">
        <is>
          <t>Alex Higginbottom</t>
        </is>
      </c>
      <c r="E83" s="7" t="inlineStr">
        <is>
          <t>Founder &amp; CEO</t>
        </is>
      </c>
      <c r="F83" s="7" t="inlineStr">
        <is>
          <t>Zenithon</t>
        </is>
      </c>
      <c r="G83" s="7" t="inlineStr">
        <is>
          <t>UK</t>
        </is>
      </c>
      <c r="H83" s="7" t="inlineStr">
        <is>
          <t>London</t>
        </is>
      </c>
      <c r="I83" s="8" t="inlineStr">
        <is>
          <t>https://www.linkedin.com/in/alex-higginbottom-049056141</t>
        </is>
      </c>
      <c r="J83" s="9" t="inlineStr">
        <is>
          <t>Yes</t>
        </is>
      </c>
      <c r="K83" s="7" t="inlineStr">
        <is>
          <t>$10M led by BACKED with Seraphim, Lunar, MMC (world models for extreme physics)</t>
        </is>
      </c>
      <c r="L83" s="7" t="inlineStr">
        <is>
          <t>2026-09</t>
        </is>
      </c>
      <c r="M83" s="10" t="inlineStr">
        <is>
          <t>https://tech.eu/2026/09/30/zenithon-raises-10m-to-build-world-models-for-extreme-physics</t>
        </is>
      </c>
      <c r="N83" s="7" t="inlineStr">
        <is>
          <t>Not indexed</t>
        </is>
      </c>
      <c r="O83" s="7" t="inlineStr"/>
      <c r="P83" s="7" t="inlineStr">
        <is>
          <t>Profile confirmed, no own posts indexed. Left a Cambridge and Manchester PhD to start Zenithon.</t>
        </is>
      </c>
      <c r="Q83" s="7" t="n">
        <v>50</v>
      </c>
      <c r="R83" s="7">
        <f>IF(Q83&gt;=60,"Priority",IF(Q83&gt;=40,"Warm","Nurture"))</f>
        <v/>
      </c>
      <c r="S83" s="7" t="inlineStr">
        <is>
          <t>World models for fusion, rockets and chips is a story engineers and investors want explained. The founder is the person to explain it.</t>
        </is>
      </c>
      <c r="T83" s="7" t="inlineStr">
        <is>
          <t>Hi Alex, congrats on the $10M round.
World models for extreme physics is a big idea.
Would be good to connect.</t>
        </is>
      </c>
      <c r="U83" s="7" t="inlineStr">
        <is>
          <t>Thanks for connecting, Alex.
I couldn't find posts from you yet.
With hiring from 11 to 17, would a founder voice help you find the right people?</t>
        </is>
      </c>
      <c r="V83" s="7" t="inlineStr">
        <is>
          <t>No posts; PhD dropout story; explain world models for engineers.</t>
        </is>
      </c>
      <c r="W83" s="7" t="inlineStr">
        <is>
          <t>Raise announced 30 Sep 2026, so this is very fresh.</t>
        </is>
      </c>
      <c r="X83" s="9" t="inlineStr">
        <is>
          <t>alex@zenithon.ai</t>
        </is>
      </c>
      <c r="Y83" s="7" t="inlineStr">
        <is>
          <t>Zenithon's story</t>
        </is>
      </c>
      <c r="Z83" s="7" t="inlineStr">
        <is>
          <t>Hi Alex,
Congrats on the $10M round.
You're growing from 11 to 17 people, and the engineers you want will look you up first. I couldn't find posts from you yet.
We help technical founders explain big ideas on LinkedIn, steadily.
Worth a 15-minute call?
Prabal
Gliped | LinkedIn personal branding for founders
Not relevant? Reply "no" and I won't follow up.</t>
        </is>
      </c>
      <c r="AA83" s="7" t="inlineStr">
        <is>
          <t>Verified</t>
        </is>
      </c>
      <c r="AB83" s="7" t="inlineStr">
        <is>
          <t>Prospeo SMTP Founder &amp; CEO; London; PhD dropout (Cambridge/Manchester); prior co-founder 2Body</t>
        </is>
      </c>
    </row>
    <row r="84" ht="96" customHeight="1">
      <c r="A84" s="7" t="inlineStr">
        <is>
          <t>G083</t>
        </is>
      </c>
      <c r="B84" s="7" t="inlineStr">
        <is>
          <t>03</t>
        </is>
      </c>
      <c r="C84" s="7" t="inlineStr">
        <is>
          <t>2026-10-02</t>
        </is>
      </c>
      <c r="D84" s="7" t="inlineStr">
        <is>
          <t>Umaima Ahmad</t>
        </is>
      </c>
      <c r="E84" s="7" t="inlineStr">
        <is>
          <t>Co-founder &amp; CEO</t>
        </is>
      </c>
      <c r="F84" s="7" t="inlineStr">
        <is>
          <t>52North</t>
        </is>
      </c>
      <c r="G84" s="7" t="inlineStr">
        <is>
          <t>UK</t>
        </is>
      </c>
      <c r="H84" s="7" t="inlineStr">
        <is>
          <t>Cambridge</t>
        </is>
      </c>
      <c r="I84" s="8" t="inlineStr">
        <is>
          <t>https://www.linkedin.com/in/umaima-ahmad</t>
        </is>
      </c>
      <c r="J84" s="9" t="inlineStr">
        <is>
          <t>Yes</t>
        </is>
      </c>
      <c r="K84" s="7" t="inlineStr">
        <is>
          <t>GBP 3.2M co-led by Macmillan and Hargreave Hale AIM VCT (Neutrocheck cancer test)</t>
        </is>
      </c>
      <c r="L84" s="7" t="inlineStr">
        <is>
          <t>2026-09</t>
        </is>
      </c>
      <c r="M84" s="10" t="inlineStr">
        <is>
          <t>https://ifamagazine.com/52north-raises-3-2-million-to-transform-urgent-cancer-care-with-funding-co-led-by-macmillan-cancer-support-and-hargreave-hale-aim-vct/</t>
        </is>
      </c>
      <c r="N84" s="7" t="inlineStr">
        <is>
          <t>Went quiet</t>
        </is>
      </c>
      <c r="O84" s="7" t="inlineStr">
        <is>
          <t>2023-01</t>
        </is>
      </c>
      <c r="P84" s="7" t="inlineStr">
        <is>
          <t>One own post indexed: welcoming Prof Sir Leszek Borysiewicz to the board (Jan 2023). Cambridge and Innovate UK post about the founder.</t>
        </is>
      </c>
      <c r="Q84" s="7" t="n">
        <v>40</v>
      </c>
      <c r="R84" s="7">
        <f>IF(Q84&gt;=60,"Priority",IF(Q84&gt;=40,"Warm","Nurture"))</f>
        <v/>
      </c>
      <c r="S84" s="7" t="inlineStr">
        <is>
          <t>A home blood test for chemo patients is a story clinicians and patients care about. A founder voice can carry it into the NHS.</t>
        </is>
      </c>
      <c r="T84" s="7" t="inlineStr">
        <is>
          <t>Hi Umaima, congrats on the round co-led by Macmillan.
Neutrocheck could change urgent cancer care.
Would be good to connect.</t>
        </is>
      </c>
      <c r="U84" s="7" t="inlineStr">
        <is>
          <t>Thanks for connecting, Umaima.
Others post about 52North more than you do. The last post I found from you is from 2023.
Would you want that voice back?</t>
        </is>
      </c>
      <c r="V84" s="7" t="inlineStr">
        <is>
          <t>Quiet since 2023; patient-first story; NHS adoption content.</t>
        </is>
      </c>
      <c r="W84" s="7" t="inlineStr">
        <is>
          <t>No verified email. LinkedIn first.</t>
        </is>
      </c>
      <c r="X84" s="9" t="inlineStr"/>
      <c r="Y84" s="7" t="inlineStr">
        <is>
          <t>Neutrocheck, from you</t>
        </is>
      </c>
      <c r="Z84" s="7" t="inlineStr">
        <is>
          <t>Hi Umaima,
Congrats on the round co-led by Macmillan.
Cambridge and Innovate UK post about 52North more than you do, and your last post I found is from 2023. Clinicians and patients would follow your voice.
We build founder brands on LinkedIn around stories like this.
Open to a quick call?
Prabal
Gliped | LinkedIn personal branding for founders
Not relevant? Reply "no" and I won't follow up.</t>
        </is>
      </c>
      <c r="AA84" s="7" t="inlineStr">
        <is>
          <t>Not found</t>
        </is>
      </c>
      <c r="AB84" s="7" t="inlineStr"/>
    </row>
    <row r="85" ht="96" customHeight="1">
      <c r="A85" s="7" t="inlineStr">
        <is>
          <t>G084</t>
        </is>
      </c>
      <c r="B85" s="7" t="inlineStr">
        <is>
          <t>03</t>
        </is>
      </c>
      <c r="C85" s="7" t="inlineStr">
        <is>
          <t>2026-10-02</t>
        </is>
      </c>
      <c r="D85" s="7" t="inlineStr">
        <is>
          <t>Daniel Park</t>
        </is>
      </c>
      <c r="E85" s="7" t="inlineStr">
        <is>
          <t>Founder</t>
        </is>
      </c>
      <c r="F85" s="7" t="inlineStr">
        <is>
          <t>InTouchNow</t>
        </is>
      </c>
      <c r="G85" s="7" t="inlineStr">
        <is>
          <t>UK</t>
        </is>
      </c>
      <c r="H85" s="7" t="inlineStr">
        <is>
          <t>UK</t>
        </is>
      </c>
      <c r="I85" s="8" t="inlineStr">
        <is>
          <t>https://www.linkedin.com/search/results/people/?keywords=Daniel%20Park%20InTouchNow</t>
        </is>
      </c>
      <c r="J85" s="9" t="inlineStr">
        <is>
          <t>No</t>
        </is>
      </c>
      <c r="K85" s="7" t="inlineStr">
        <is>
          <t>GBP 2.3M seed led by Ada Ventures (AI voice agent for GP surgeries)</t>
        </is>
      </c>
      <c r="L85" s="7" t="inlineStr">
        <is>
          <t>2026-09</t>
        </is>
      </c>
      <c r="M85" s="10" t="inlineStr">
        <is>
          <t>https://www.resultsense.com/news/2026-09-23-intouchnow-seed-gp-ai-voice-agent/</t>
        </is>
      </c>
      <c r="N85" s="7" t="inlineStr">
        <is>
          <t>Not indexed</t>
        </is>
      </c>
      <c r="O85" s="7" t="inlineStr"/>
      <c r="P85" s="7" t="inlineStr">
        <is>
          <t>Common name; no own posts matched to InTouchNow.</t>
        </is>
      </c>
      <c r="Q85" s="7" t="n">
        <v>40</v>
      </c>
      <c r="R85" s="7">
        <f>IF(Q85&gt;=60,"Priority",IF(Q85&gt;=40,"Warm","Nurture"))</f>
        <v/>
      </c>
      <c r="S85" s="7" t="inlineStr">
        <is>
          <t>GP surgeries are cautious buyers. A founder who explains how an AI voice agent helps patients and staff earns trust.</t>
        </is>
      </c>
      <c r="T85" s="7" t="inlineStr">
        <is>
          <t>Hi Daniel, congrats on the seed led by Ada Ventures.
An AI voice agent for GP surgeries tackles a real pain.
Would be good to connect.</t>
        </is>
      </c>
      <c r="U85" s="7" t="inlineStr">
        <is>
          <t>Thanks for connecting, Daniel.
Practice managers will look you up before they trust an AI on their phones.
Is LinkedIn part of how you want to reach them?</t>
        </is>
      </c>
      <c r="V85" s="7" t="inlineStr">
        <is>
          <t>Confirm profile; practice manager content; patient safety.</t>
        </is>
      </c>
      <c r="W85" s="7" t="inlineStr">
        <is>
          <t>VERIFY PROFILE. Common name. No email found.</t>
        </is>
      </c>
      <c r="X85" s="9" t="inlineStr"/>
      <c r="Y85" s="7" t="inlineStr">
        <is>
          <t>InTouchNow and GP practices</t>
        </is>
      </c>
      <c r="Z85" s="7" t="inlineStr">
        <is>
          <t>Hi Daniel,
Congrats on the seed led by Ada Ventures.
Practice managers will look you up before they trust an AI voice agent with their patients. A founder voice on LinkedIn makes that easier.
We build founder brands, from positioning to weekly posts.
Want the 3-point teardown instead?
Prabal
Gliped | LinkedIn personal branding for founders
Not relevant? Reply "no" and I won't follow up.</t>
        </is>
      </c>
      <c r="AA85" s="7" t="inlineStr">
        <is>
          <t>Not found</t>
        </is>
      </c>
      <c r="AB85" s="7" t="inlineStr"/>
    </row>
    <row r="86" ht="96" customHeight="1">
      <c r="A86" s="7" t="inlineStr">
        <is>
          <t>G085</t>
        </is>
      </c>
      <c r="B86" s="7" t="inlineStr">
        <is>
          <t>03</t>
        </is>
      </c>
      <c r="C86" s="7" t="inlineStr">
        <is>
          <t>2026-10-02</t>
        </is>
      </c>
      <c r="D86" s="7" t="inlineStr">
        <is>
          <t>Guy Levy-Yurista</t>
        </is>
      </c>
      <c r="E86" s="7" t="inlineStr">
        <is>
          <t>CEO</t>
        </is>
      </c>
      <c r="F86" s="7" t="inlineStr">
        <is>
          <t>Imperagen</t>
        </is>
      </c>
      <c r="G86" s="7" t="inlineStr">
        <is>
          <t>UK</t>
        </is>
      </c>
      <c r="H86" s="7" t="inlineStr">
        <is>
          <t>Manchester</t>
        </is>
      </c>
      <c r="I86" s="8" t="inlineStr">
        <is>
          <t>https://www.linkedin.com/search/results/people/?keywords=Guy%20Levy-Yurista%20Imperagen</t>
        </is>
      </c>
      <c r="J86" s="9" t="inlineStr">
        <is>
          <t>No</t>
        </is>
      </c>
      <c r="K86" s="7" t="inlineStr">
        <is>
          <t>GBP 5M seed; appointed CEO (AI enzyme engineering)</t>
        </is>
      </c>
      <c r="L86" s="7" t="inlineStr">
        <is>
          <t>2026-09</t>
        </is>
      </c>
      <c r="M86" s="10" t="inlineStr">
        <is>
          <t>https://businesscloud.co.uk/news/spin-out-imperagen-raises-5m-and-announces-new-ceo/</t>
        </is>
      </c>
      <c r="N86" s="7" t="inlineStr">
        <is>
          <t>Not indexed</t>
        </is>
      </c>
      <c r="O86" s="7" t="inlineStr"/>
      <c r="P86" s="7" t="inlineStr">
        <is>
          <t>No own posts indexed. Appointed CEO at the same time as the seed round.</t>
        </is>
      </c>
      <c r="Q86" s="7" t="n">
        <v>60</v>
      </c>
      <c r="R86" s="7">
        <f>IF(Q86&gt;=60,"Priority",IF(Q86&gt;=40,"Warm","Nurture"))</f>
        <v/>
      </c>
      <c r="S86" s="7" t="inlineStr">
        <is>
          <t>New CEO and new money at once. The first 90 days on LinkedIn set how partners and hires see Imperagen.</t>
        </is>
      </c>
      <c r="T86" s="7" t="inlineStr">
        <is>
          <t>Hi Guy, congrats on the CEO role and the £5M seed.
AI enzyme engineering out of Manchester is a strong story.
Would be good to connect.</t>
        </is>
      </c>
      <c r="U86" s="7" t="inlineStr">
        <is>
          <t>Thanks for connecting, Guy.
New CEO plus a fresh round is when people check your profile most.
Would you want a plan for your first months there?</t>
        </is>
      </c>
      <c r="V86" s="7" t="inlineStr">
        <is>
          <t>Confirm profile; new CEO intro; enzyme engineering explained.</t>
        </is>
      </c>
      <c r="W86" s="7" t="inlineStr">
        <is>
          <t>VERIFY PROFILE. Two triggers (new CEO and raise). No email found.</t>
        </is>
      </c>
      <c r="X86" s="9" t="inlineStr"/>
      <c r="Y86" s="7" t="inlineStr">
        <is>
          <t>Your first 90 days</t>
        </is>
      </c>
      <c r="Z86" s="7" t="inlineStr">
        <is>
          <t>Hi Guy,
Congrats on the CEO role and the £5M seed.
A new CEO and fresh money is when partners and hires check your profile most. The first 90 days set how they see Imperagen.
We build CEO brands on LinkedIn, from positioning to weekly posts.
Worth a 15-minute call next week?
Prabal
Gliped | LinkedIn personal branding for founders
Not relevant? Reply "no" and I won't follow up.</t>
        </is>
      </c>
      <c r="AA86" s="7" t="inlineStr">
        <is>
          <t>Not found</t>
        </is>
      </c>
      <c r="AB86" s="7" t="inlineStr"/>
    </row>
    <row r="87" ht="96" customHeight="1">
      <c r="A87" s="7" t="inlineStr">
        <is>
          <t>G086</t>
        </is>
      </c>
      <c r="B87" s="7" t="inlineStr">
        <is>
          <t>03</t>
        </is>
      </c>
      <c r="C87" s="7" t="inlineStr">
        <is>
          <t>2026-10-02</t>
        </is>
      </c>
      <c r="D87" s="7" t="inlineStr">
        <is>
          <t>Andrea Romano</t>
        </is>
      </c>
      <c r="E87" s="7" t="inlineStr">
        <is>
          <t>CEO</t>
        </is>
      </c>
      <c r="F87" s="7" t="inlineStr">
        <is>
          <t>DriveSimple</t>
        </is>
      </c>
      <c r="G87" s="7" t="inlineStr">
        <is>
          <t>UK</t>
        </is>
      </c>
      <c r="H87" s="7" t="inlineStr">
        <is>
          <t>London</t>
        </is>
      </c>
      <c r="I87" s="8" t="inlineStr">
        <is>
          <t>https://www.linkedin.com/search/results/people/?keywords=Andrea%20Romano%20DriveSimple</t>
        </is>
      </c>
      <c r="J87" s="9" t="inlineStr">
        <is>
          <t>No</t>
        </is>
      </c>
      <c r="K87" s="7" t="inlineStr">
        <is>
          <t>GBP 1.5M from Calm Media Investments; appointed CEO (van subscriptions)</t>
        </is>
      </c>
      <c r="L87" s="7" t="inlineStr">
        <is>
          <t>2026-09</t>
        </is>
      </c>
      <c r="M87" s="10" t="inlineStr">
        <is>
          <t>https://fleetworld.co.uk/drivesimple-raises-1-5m-to-scale-flexible-van-subscription-model/</t>
        </is>
      </c>
      <c r="N87" s="7" t="inlineStr">
        <is>
          <t>Not indexed</t>
        </is>
      </c>
      <c r="O87" s="7" t="inlineStr"/>
      <c r="P87" s="7" t="inlineStr">
        <is>
          <t>No own posts indexed. Appointed CEO alongside the raise.</t>
        </is>
      </c>
      <c r="Q87" s="7" t="n">
        <v>50</v>
      </c>
      <c r="R87" s="7">
        <f>IF(Q87&gt;=60,"Priority",IF(Q87&gt;=40,"Warm","Nurture"))</f>
        <v/>
      </c>
      <c r="S87" s="7" t="inlineStr">
        <is>
          <t>A new CEO at a van subscription business needs fleet buyers to know who's in charge. LinkedIn is where they look.</t>
        </is>
      </c>
      <c r="T87" s="7" t="inlineStr">
        <is>
          <t>Hi Andrea, congrats on the new role and the round.
Van subscriptions fit how small businesses buy now.
Would be good to connect.</t>
        </is>
      </c>
      <c r="U87" s="7" t="inlineStr">
        <is>
          <t>Thanks for connecting, Andrea.
As the new CEO, people will be checking your profile.
Is LinkedIn part of your plan for the first months?</t>
        </is>
      </c>
      <c r="V87" s="7" t="inlineStr">
        <is>
          <t>Confirm profile; new CEO intro; small-business fleet content.</t>
        </is>
      </c>
      <c r="W87" s="7" t="inlineStr">
        <is>
          <t>VERIFY PROFILE. Common name. No email found.</t>
        </is>
      </c>
      <c r="X87" s="9" t="inlineStr"/>
      <c r="Y87" s="7" t="inlineStr">
        <is>
          <t>New CEO at DriveSimple</t>
        </is>
      </c>
      <c r="Z87" s="7" t="inlineStr">
        <is>
          <t>Hi Andrea,
Congrats on the new role and the £1.5M round.
Fleet buyers will want to know who's running DriveSimple now. LinkedIn is where they look.
We build CEO brands on LinkedIn, from positioning to weekly posts.
Open to a quick call?
Prabal
Gliped | LinkedIn personal branding for founders
Not relevant? Reply "no" and I won't follow up.</t>
        </is>
      </c>
      <c r="AA87" s="7" t="inlineStr">
        <is>
          <t>Not found</t>
        </is>
      </c>
      <c r="AB87" s="7" t="inlineStr"/>
    </row>
    <row r="88" ht="96" customHeight="1">
      <c r="A88" s="7" t="inlineStr">
        <is>
          <t>G087</t>
        </is>
      </c>
      <c r="B88" s="7" t="inlineStr">
        <is>
          <t>03</t>
        </is>
      </c>
      <c r="C88" s="7" t="inlineStr">
        <is>
          <t>2026-10-02</t>
        </is>
      </c>
      <c r="D88" s="7" t="inlineStr">
        <is>
          <t>Danyal Akarca</t>
        </is>
      </c>
      <c r="E88" s="7" t="inlineStr">
        <is>
          <t>Co-founder &amp; CEO</t>
        </is>
      </c>
      <c r="F88" s="7" t="inlineStr">
        <is>
          <t>Callosum</t>
        </is>
      </c>
      <c r="G88" s="7" t="inlineStr">
        <is>
          <t>UK</t>
        </is>
      </c>
      <c r="H88" s="7" t="inlineStr">
        <is>
          <t>London</t>
        </is>
      </c>
      <c r="I88" s="8" t="inlineStr">
        <is>
          <t>https://www.linkedin.com/search/results/people/?keywords=Danyal%20Akarca%20Callosum</t>
        </is>
      </c>
      <c r="J88" s="9" t="inlineStr">
        <is>
          <t>No</t>
        </is>
      </c>
      <c r="K88" s="7" t="inlineStr">
        <is>
          <t>$100M (GBP 73.5M) seed led by Atomico; first UK Sovereign AI Fund investment</t>
        </is>
      </c>
      <c r="L88" s="7" t="inlineStr">
        <is>
          <t>2026-08</t>
        </is>
      </c>
      <c r="M88" s="10" t="inlineStr">
        <is>
          <t>https://www.uktech.news/ai/callosum-raises-73-5m-to-redefine-how-humanity-computes-20260820</t>
        </is>
      </c>
      <c r="N88" s="7" t="inlineStr">
        <is>
          <t>Not indexed</t>
        </is>
      </c>
      <c r="O88" s="7" t="inlineStr"/>
      <c r="P88" s="7" t="inlineStr">
        <is>
          <t>No own posts indexed.</t>
        </is>
      </c>
      <c r="Q88" s="7" t="n">
        <v>50</v>
      </c>
      <c r="R88" s="7">
        <f>IF(Q88&gt;=60,"Priority",IF(Q88&gt;=40,"Warm","Nurture"))</f>
        <v/>
      </c>
      <c r="S88" s="7" t="inlineStr">
        <is>
          <t>A $100M seed and the first Sovereign AI Fund cheque make Callosum a national story. The founder who explains it becomes the voice of UK compute.</t>
        </is>
      </c>
      <c r="T88" s="7" t="inlineStr">
        <is>
          <t>Hi Danyal, congrats on the seed led by Atomico.
Being the first Sovereign AI Fund investment is a big moment.
Would be good to connect.</t>
        </is>
      </c>
      <c r="U88" s="7" t="inlineStr">
        <is>
          <t>Thanks for connecting, Danyal.
A round like that puts you in front of researchers, hires and government.
Would you want help with your own voice on LinkedIn?</t>
        </is>
      </c>
      <c r="V88" s="7" t="inlineStr">
        <is>
          <t>Confirm profile; thesis on new computing; research to company story.</t>
        </is>
      </c>
      <c r="W88" s="7" t="inlineStr">
        <is>
          <t>VERIFY PROFILE. No email found. Likely research background: pitch distribution and cadence.</t>
        </is>
      </c>
      <c r="X88" s="9" t="inlineStr"/>
      <c r="Y88" s="7" t="inlineStr">
        <is>
          <t>Callosum's voice</t>
        </is>
      </c>
      <c r="Z88" s="7" t="inlineStr">
        <is>
          <t>Hi Danyal,
Congrats on the seed led by Atomico.
Being the first Sovereign AI Fund investment puts you in front of researchers, hires and government. Your own LinkedIn could carry that story.
We help research founders with cadence and distribution, not just writing.
Worth a 15-minute call?
Prabal
Gliped | LinkedIn personal branding for founders
Not relevant? Reply "no" and I won't follow up.</t>
        </is>
      </c>
      <c r="AA88" s="7" t="inlineStr">
        <is>
          <t>Not found</t>
        </is>
      </c>
      <c r="AB88" s="7" t="inlineStr"/>
    </row>
    <row r="89" ht="96" customHeight="1">
      <c r="A89" s="7" t="inlineStr">
        <is>
          <t>G088</t>
        </is>
      </c>
      <c r="B89" s="7" t="inlineStr">
        <is>
          <t>03</t>
        </is>
      </c>
      <c r="C89" s="7" t="inlineStr">
        <is>
          <t>2026-10-02</t>
        </is>
      </c>
      <c r="D89" s="7" t="inlineStr">
        <is>
          <t>Ilya Drozdov</t>
        </is>
      </c>
      <c r="E89" s="7" t="inlineStr">
        <is>
          <t>Co-founder &amp; CEO</t>
        </is>
      </c>
      <c r="F89" s="7" t="inlineStr">
        <is>
          <t>Dwelly</t>
        </is>
      </c>
      <c r="G89" s="7" t="inlineStr">
        <is>
          <t>UK</t>
        </is>
      </c>
      <c r="H89" s="7" t="inlineStr">
        <is>
          <t>London</t>
        </is>
      </c>
      <c r="I89" s="8" t="inlineStr">
        <is>
          <t>https://www.linkedin.com/search/results/people/?keywords=Ilya%20Drozdov%20Dwelly</t>
        </is>
      </c>
      <c r="J89" s="9" t="inlineStr">
        <is>
          <t>No</t>
        </is>
      </c>
      <c r="K89" s="7" t="inlineStr">
        <is>
          <t>GBP 128M Series B (AI roll-up of letting agencies)</t>
        </is>
      </c>
      <c r="L89" s="7" t="inlineStr">
        <is>
          <t>2026-07</t>
        </is>
      </c>
      <c r="M89" s="10" t="inlineStr">
        <is>
          <t>https://businesscloud.co.uk/news/proptech-dwelly-raises-128m-in-series-b-funding/</t>
        </is>
      </c>
      <c r="N89" s="7" t="inlineStr">
        <is>
          <t>Not indexed</t>
        </is>
      </c>
      <c r="O89" s="7" t="inlineStr"/>
      <c r="P89" s="7" t="inlineStr">
        <is>
          <t>No own posts matched to Dwelly (search returned a different Ilia Drozdov).</t>
        </is>
      </c>
      <c r="Q89" s="7" t="n">
        <v>50</v>
      </c>
      <c r="R89" s="7">
        <f>IF(Q89&gt;=60,"Priority",IF(Q89&gt;=40,"Warm","Nurture"))</f>
        <v/>
      </c>
      <c r="S89" s="7" t="inlineStr">
        <is>
          <t>An AI roll-up of letting agencies needs agency owners to want to sell to Dwelly. A founder voice makes that pitch first.</t>
        </is>
      </c>
      <c r="T89" s="7" t="inlineStr">
        <is>
          <t>Hi Ilya, congrats on the Series B.
Rolling up letting agencies with AI is a bold model.
Would be good to connect.</t>
        </is>
      </c>
      <c r="U89" s="7" t="inlineStr">
        <is>
          <t>Thanks for connecting, Ilya.
Agency owners you want to acquire will look you up.
Is LinkedIn part of how you want to reach them?</t>
        </is>
      </c>
      <c r="V89" s="7" t="inlineStr">
        <is>
          <t>Confirm profile; seller-facing content; roll-up thesis.</t>
        </is>
      </c>
      <c r="W89" s="7" t="inlineStr">
        <is>
          <t>VERIFY PROFILE. No email found. Trigger is Jul 2026.</t>
        </is>
      </c>
      <c r="X89" s="9" t="inlineStr"/>
      <c r="Y89" s="7" t="inlineStr">
        <is>
          <t>Dwelly and agency owners</t>
        </is>
      </c>
      <c r="Z89" s="7" t="inlineStr">
        <is>
          <t>Hi Ilya,
Congrats on the £128M Series B.
The agency owners you want to acquire will look you up first. A founder voice makes that pitch before you call.
We build founder brands on LinkedIn, from positioning to weekly posts.
Worth a 15-minute call?
Prabal
Gliped | LinkedIn personal branding for founders
Not relevant? Reply "no" and I won't follow up.</t>
        </is>
      </c>
      <c r="AA89" s="7" t="inlineStr">
        <is>
          <t>Not found</t>
        </is>
      </c>
      <c r="AB89" s="7" t="inlineStr"/>
    </row>
    <row r="90" ht="96" customHeight="1">
      <c r="A90" s="7" t="inlineStr">
        <is>
          <t>G089</t>
        </is>
      </c>
      <c r="B90" s="7" t="inlineStr">
        <is>
          <t>03</t>
        </is>
      </c>
      <c r="C90" s="7" t="inlineStr">
        <is>
          <t>2026-10-02</t>
        </is>
      </c>
      <c r="D90" s="7" t="inlineStr">
        <is>
          <t>Max Buchan</t>
        </is>
      </c>
      <c r="E90" s="7" t="inlineStr">
        <is>
          <t>Founder &amp; CEO</t>
        </is>
      </c>
      <c r="F90" s="7" t="inlineStr">
        <is>
          <t>Valarian</t>
        </is>
      </c>
      <c r="G90" s="7" t="inlineStr">
        <is>
          <t>UK</t>
        </is>
      </c>
      <c r="H90" s="7" t="inlineStr">
        <is>
          <t>London</t>
        </is>
      </c>
      <c r="I90" s="8" t="inlineStr">
        <is>
          <t>https://www.linkedin.com/in/maxbuchan</t>
        </is>
      </c>
      <c r="J90" s="9" t="inlineStr">
        <is>
          <t>Yes</t>
        </is>
      </c>
      <c r="K90" s="7" t="inlineStr">
        <is>
          <t>$50M (GBP 37M) Series A (sovereign AI infrastructure)</t>
        </is>
      </c>
      <c r="L90" s="7" t="inlineStr">
        <is>
          <t>2026-07</t>
        </is>
      </c>
      <c r="M90" s="10" t="inlineStr">
        <is>
          <t>https://ventureburn.com/valarian-raises-50-million-sovereign-ai-infrastructure/</t>
        </is>
      </c>
      <c r="N90" s="7" t="inlineStr">
        <is>
          <t>Went quiet</t>
        </is>
      </c>
      <c r="O90" s="7" t="inlineStr">
        <is>
          <t>2023-05</t>
        </is>
      </c>
      <c r="P90" s="7" t="inlineStr">
        <is>
          <t>Own posts indexed from Mar 2020 (Worldr) and May 2023 (first exec hire). Forbes 30 Under 30 2024. Nothing indexed for the Valarian rebrand or the Series A.</t>
        </is>
      </c>
      <c r="Q90" s="7" t="n">
        <v>50</v>
      </c>
      <c r="R90" s="7">
        <f>IF(Q90&gt;=60,"Priority",IF(Q90&gt;=40,"Warm","Nurture"))</f>
        <v/>
      </c>
      <c r="S90" s="7" t="inlineStr">
        <is>
          <t>Sovereign AI infrastructure is a policy topic as much as a product. A CEO who comments on it gets invited into those rooms.</t>
        </is>
      </c>
      <c r="T90" s="7" t="inlineStr">
        <is>
          <t>Hi Max, congrats on the Series A.
Sovereign AI infrastructure is a timely space for Valarian.
Would be good to connect.</t>
        </is>
      </c>
      <c r="U90" s="7" t="inlineStr">
        <is>
          <t>Thanks for connecting, Max.
The last post I found from you is from 2023, before the Valarian rebrand.
Would you want your voice to catch up with the company?</t>
        </is>
      </c>
      <c r="V90" s="7" t="inlineStr">
        <is>
          <t>Quiet since 2023; sovereignty commentary; defence and government buyers.</t>
        </is>
      </c>
      <c r="W90" s="7" t="inlineStr">
        <is>
          <t>Defence buyers. Keep it formal. Trigger is Jul 2026.</t>
        </is>
      </c>
      <c r="X90" s="9" t="inlineStr">
        <is>
          <t>max@valarian.com</t>
        </is>
      </c>
      <c r="Y90" s="7" t="inlineStr">
        <is>
          <t>Valarian, in your voice</t>
        </is>
      </c>
      <c r="Z90" s="7" t="inlineStr">
        <is>
          <t>Hi Max,
Congrats on the $50M Series A.
The last post I found from you is from 2023, before the rebrand. Sovereign AI is a policy topic, and CEOs who comment on it get invited into those rooms.
We build CEO brands on LinkedIn, steadily and credibly.
Worth a 15-minute call?
Prabal
Gliped | LinkedIn personal branding for founders
Not relevant? Reply "no" and I won't follow up.</t>
        </is>
      </c>
      <c r="AA90" s="7" t="inlineStr">
        <is>
          <t>Verified</t>
        </is>
      </c>
      <c r="AB90" s="7" t="inlineStr">
        <is>
          <t>Prospeo SMTP Founder &amp; CEO since 2020 (Worldr rebrand); Forbes 30u30 2024; ex-CoinShares</t>
        </is>
      </c>
    </row>
    <row r="91" ht="96" customHeight="1">
      <c r="A91" s="7" t="inlineStr">
        <is>
          <t>G090</t>
        </is>
      </c>
      <c r="B91" s="7" t="inlineStr">
        <is>
          <t>03</t>
        </is>
      </c>
      <c r="C91" s="7" t="inlineStr">
        <is>
          <t>2026-10-02</t>
        </is>
      </c>
      <c r="D91" s="7" t="inlineStr">
        <is>
          <t>Arthur Fordham</t>
        </is>
      </c>
      <c r="E91" s="7" t="inlineStr">
        <is>
          <t>Co-founder</t>
        </is>
      </c>
      <c r="F91" s="7" t="inlineStr">
        <is>
          <t>AcouBatt</t>
        </is>
      </c>
      <c r="G91" s="7" t="inlineStr">
        <is>
          <t>UK</t>
        </is>
      </c>
      <c r="H91" s="7" t="inlineStr">
        <is>
          <t>London</t>
        </is>
      </c>
      <c r="I91" s="8" t="inlineStr">
        <is>
          <t>https://www.linkedin.com/search/results/people/?keywords=Arthur%20Fordham%20AcouBatt</t>
        </is>
      </c>
      <c r="J91" s="9" t="inlineStr">
        <is>
          <t>No</t>
        </is>
      </c>
      <c r="K91" s="7" t="inlineStr">
        <is>
          <t>GBP 1.1M pre-seed led by Creator Fund with Ada Ventures (battery diagnostics, UCL spinout)</t>
        </is>
      </c>
      <c r="L91" s="7" t="inlineStr">
        <is>
          <t>2026-09</t>
        </is>
      </c>
      <c r="M91" s="10" t="inlineStr">
        <is>
          <t>https://tech.eu/2026/09/16/acoubatt-raises-ps11m-to-improve-battery-manufacturing-safety-and-reliability</t>
        </is>
      </c>
      <c r="N91" s="7" t="inlineStr">
        <is>
          <t>Not indexed</t>
        </is>
      </c>
      <c r="O91" s="7" t="inlineStr"/>
      <c r="P91" s="7" t="inlineStr">
        <is>
          <t>No own posts or confirmed profile found.</t>
        </is>
      </c>
      <c r="Q91" s="7" t="n">
        <v>40</v>
      </c>
      <c r="R91" s="7">
        <f>IF(Q91&gt;=60,"Priority",IF(Q91&gt;=40,"Warm","Nurture"))</f>
        <v/>
      </c>
      <c r="S91" s="7" t="inlineStr">
        <is>
          <t>Battery safety matters to every gigafactory. A UCL spinout founder who explains it simply gets noticed by manufacturers.</t>
        </is>
      </c>
      <c r="T91" s="7" t="inlineStr">
        <is>
          <t>Hi Arthur, congrats on the pre-seed.
Acoustic battery diagnostics is a clever idea.
Would be good to connect.</t>
        </is>
      </c>
      <c r="U91" s="7" t="inlineStr">
        <is>
          <t>Thanks for connecting, Arthur.
I couldn't find posts from you yet.
Is LinkedIn part of how you want to reach battery makers?</t>
        </is>
      </c>
      <c r="V91" s="7" t="inlineStr">
        <is>
          <t>Confirm profile; spinout story; manufacturer-facing content.</t>
        </is>
      </c>
      <c r="W91" s="7" t="inlineStr">
        <is>
          <t>VERIFY PROFILE. No email found.</t>
        </is>
      </c>
      <c r="X91" s="9" t="inlineStr"/>
      <c r="Y91" s="7" t="inlineStr">
        <is>
          <t>AcouBatt's story</t>
        </is>
      </c>
      <c r="Z91" s="7" t="inlineStr">
        <is>
          <t>Hi Arthur,
Congrats on the pre-seed.
Battery makers will want to understand acoustic diagnostics, and a founder who explains it simply gets noticed. I couldn't find posts from you yet.
We build founder brands on LinkedIn.
Want the 3-point teardown instead?
Prabal
Gliped | LinkedIn personal branding for founders
Not relevant? Reply "no" and I won't follow up.</t>
        </is>
      </c>
      <c r="AA91" s="7" t="inlineStr">
        <is>
          <t>Not found</t>
        </is>
      </c>
      <c r="AB91" s="7" t="inlineStr"/>
    </row>
    <row r="92" ht="96" customHeight="1">
      <c r="A92" s="7" t="inlineStr">
        <is>
          <t>G091</t>
        </is>
      </c>
      <c r="B92" s="7" t="inlineStr">
        <is>
          <t>03</t>
        </is>
      </c>
      <c r="C92" s="7" t="inlineStr">
        <is>
          <t>2026-10-02</t>
        </is>
      </c>
      <c r="D92" s="7" t="inlineStr">
        <is>
          <t>David Dobrin</t>
        </is>
      </c>
      <c r="E92" s="7" t="inlineStr">
        <is>
          <t>Founder</t>
        </is>
      </c>
      <c r="F92" s="7" t="inlineStr">
        <is>
          <t>OriginalVoices</t>
        </is>
      </c>
      <c r="G92" s="7" t="inlineStr">
        <is>
          <t>UK</t>
        </is>
      </c>
      <c r="H92" s="7" t="inlineStr">
        <is>
          <t>London</t>
        </is>
      </c>
      <c r="I92" s="8" t="inlineStr">
        <is>
          <t>https://www.linkedin.com/search/results/people/?keywords=David%20Dobrin%20OriginalVoices</t>
        </is>
      </c>
      <c r="J92" s="9" t="inlineStr">
        <is>
          <t>No</t>
        </is>
      </c>
      <c r="K92" s="7" t="inlineStr">
        <is>
          <t>GBP 1M pre-seed led by Iona Star (human data for AI)</t>
        </is>
      </c>
      <c r="L92" s="7" t="inlineStr">
        <is>
          <t>2026-09</t>
        </is>
      </c>
      <c r="M92" s="10" t="inlineStr">
        <is>
          <t>https://tech.eu/2026/09/15/originalvoices-raises-ps1m-pre-seed-round-led-by-iona-star</t>
        </is>
      </c>
      <c r="N92" s="7" t="inlineStr">
        <is>
          <t>Not indexed</t>
        </is>
      </c>
      <c r="O92" s="7" t="inlineStr"/>
      <c r="P92" s="7" t="inlineStr">
        <is>
          <t>No own posts or confirmed profile found.</t>
        </is>
      </c>
      <c r="Q92" s="7" t="n">
        <v>40</v>
      </c>
      <c r="R92" s="7">
        <f>IF(Q92&gt;=60,"Priority",IF(Q92&gt;=40,"Warm","Nurture"))</f>
        <v/>
      </c>
      <c r="S92" s="7" t="inlineStr">
        <is>
          <t>Human data for AI is a hot and debated topic. A founder with a clear view gets heard by AI labs.</t>
        </is>
      </c>
      <c r="T92" s="7" t="inlineStr">
        <is>
          <t>Hi David, congrats on the pre-seed.
Human data for AI is a timely problem to solve.
Would be good to connect.</t>
        </is>
      </c>
      <c r="U92" s="7" t="inlineStr">
        <is>
          <t>Thanks for connecting, David.
I couldn't find posts from you yet.
Would a founder voice help OriginalVoices reach AI teams?</t>
        </is>
      </c>
      <c r="V92" s="7" t="inlineStr">
        <is>
          <t>Confirm profile; point of view on AI data; customer stories.</t>
        </is>
      </c>
      <c r="W92" s="7" t="inlineStr">
        <is>
          <t>VERIFY PROFILE. No email found.</t>
        </is>
      </c>
      <c r="X92" s="9" t="inlineStr"/>
      <c r="Y92" s="7" t="inlineStr">
        <is>
          <t>OriginalVoices, your voice</t>
        </is>
      </c>
      <c r="Z92" s="7" t="inlineStr">
        <is>
          <t>Hi David,
Congrats on the pre-seed.
Human data for AI is debated, and AI teams listen to founders with a clear view. I couldn't find posts from you yet.
We build founder brands on LinkedIn, from positioning to weekly posts.
Want the 3-point teardown instead?
Prabal
Gliped | LinkedIn personal branding for founders
Not relevant? Reply "no" and I won't follow up.</t>
        </is>
      </c>
      <c r="AA92" s="7" t="inlineStr">
        <is>
          <t>Not found</t>
        </is>
      </c>
      <c r="AB92" s="7" t="inlineStr"/>
    </row>
    <row r="93" ht="96" customHeight="1">
      <c r="A93" s="7" t="inlineStr">
        <is>
          <t>G092</t>
        </is>
      </c>
      <c r="B93" s="7" t="inlineStr">
        <is>
          <t>03</t>
        </is>
      </c>
      <c r="C93" s="7" t="inlineStr">
        <is>
          <t>2026-10-02</t>
        </is>
      </c>
      <c r="D93" s="7" t="inlineStr">
        <is>
          <t>Koye Sodipo</t>
        </is>
      </c>
      <c r="E93" s="7" t="inlineStr">
        <is>
          <t>Founder</t>
        </is>
      </c>
      <c r="F93" s="7" t="inlineStr">
        <is>
          <t>Anemo Labs</t>
        </is>
      </c>
      <c r="G93" s="7" t="inlineStr">
        <is>
          <t>UK</t>
        </is>
      </c>
      <c r="H93" s="7" t="inlineStr">
        <is>
          <t>UK</t>
        </is>
      </c>
      <c r="I93" s="8" t="inlineStr">
        <is>
          <t>https://www.linkedin.com/search/results/people/?keywords=Koye%20Sodipo%20Anemo%20Labs</t>
        </is>
      </c>
      <c r="J93" s="9" t="inlineStr">
        <is>
          <t>No</t>
        </is>
      </c>
      <c r="K93" s="7" t="inlineStr">
        <is>
          <t>GBP 700k pre-seed co-led by Zinc and SFC Capital (AI e-nose)</t>
        </is>
      </c>
      <c r="L93" s="7" t="inlineStr">
        <is>
          <t>2026-09</t>
        </is>
      </c>
      <c r="M93" s="10" t="inlineStr">
        <is>
          <t>https://tech.eu/2026/09/09/anemo-labs-lands-ps700k-to-give-ai-a-sense-of-smell</t>
        </is>
      </c>
      <c r="N93" s="7" t="inlineStr">
        <is>
          <t>Not indexed</t>
        </is>
      </c>
      <c r="O93" s="7" t="inlineStr"/>
      <c r="P93" s="7" t="inlineStr">
        <is>
          <t>No own posts or confirmed profile found.</t>
        </is>
      </c>
      <c r="Q93" s="7" t="n">
        <v>40</v>
      </c>
      <c r="R93" s="7">
        <f>IF(Q93&gt;=60,"Priority",IF(Q93&gt;=40,"Warm","Nurture"))</f>
        <v/>
      </c>
      <c r="S93" s="7" t="inlineStr">
        <is>
          <t>Giving AI a sense of smell is the kind of idea people share. A founder voice would carry it further than press.</t>
        </is>
      </c>
      <c r="T93" s="7" t="inlineStr">
        <is>
          <t>Hi Koye, congrats on the pre-seed.
An AI e-nose is a memorable idea.
Would be good to connect.</t>
        </is>
      </c>
      <c r="U93" s="7" t="inlineStr">
        <is>
          <t>Thanks for connecting, Koye.
Anemo is the kind of story people share.
Would you want your own LinkedIn telling it?</t>
        </is>
      </c>
      <c r="V93" s="7" t="inlineStr">
        <is>
          <t>Confirm profile; explain the e-nose simply; use cases.</t>
        </is>
      </c>
      <c r="W93" s="7" t="inlineStr">
        <is>
          <t>VERIFY PROFILE. No email found.</t>
        </is>
      </c>
      <c r="X93" s="9" t="inlineStr"/>
      <c r="Y93" s="7" t="inlineStr">
        <is>
          <t>Anemo's story</t>
        </is>
      </c>
      <c r="Z93" s="7" t="inlineStr">
        <is>
          <t>Hi Koye,
Congrats on the pre-seed.
An AI that can smell is the kind of story people share. Your own LinkedIn could carry it further than the press did.
We build founder brands on LinkedIn around ideas like this.
Want the 3-point teardown instead?
Prabal
Gliped | LinkedIn personal branding for founders
Not relevant? Reply "no" and I won't follow up.</t>
        </is>
      </c>
      <c r="AA93" s="7" t="inlineStr">
        <is>
          <t>Not found</t>
        </is>
      </c>
      <c r="AB93" s="7" t="inlineStr"/>
    </row>
    <row r="94" ht="96" customHeight="1">
      <c r="A94" s="7" t="inlineStr">
        <is>
          <t>G093</t>
        </is>
      </c>
      <c r="B94" s="7" t="inlineStr">
        <is>
          <t>03</t>
        </is>
      </c>
      <c r="C94" s="7" t="inlineStr">
        <is>
          <t>2026-10-02</t>
        </is>
      </c>
      <c r="D94" s="7" t="inlineStr">
        <is>
          <t>Anahita Laverack</t>
        </is>
      </c>
      <c r="E94" s="7" t="inlineStr">
        <is>
          <t>Co-founder &amp; CEO</t>
        </is>
      </c>
      <c r="F94" s="7" t="inlineStr">
        <is>
          <t>Oshen</t>
        </is>
      </c>
      <c r="G94" s="7" t="inlineStr">
        <is>
          <t>UK</t>
        </is>
      </c>
      <c r="H94" s="7" t="inlineStr">
        <is>
          <t>Plymouth</t>
        </is>
      </c>
      <c r="I94" s="8" t="inlineStr">
        <is>
          <t>https://www.linkedin.com/in/anahita-laverack</t>
        </is>
      </c>
      <c r="J94" s="9" t="inlineStr">
        <is>
          <t>Yes</t>
        </is>
      </c>
      <c r="K94" s="7" t="inlineStr">
        <is>
          <t>$5M (GBP 3.65M) to scale ocean robot fleet</t>
        </is>
      </c>
      <c r="L94" s="7" t="inlineStr">
        <is>
          <t>2026-08</t>
        </is>
      </c>
      <c r="M94" s="10" t="inlineStr">
        <is>
          <t>https://www.uktech.news/deep-tech/oshen-raises-3-65m-to-scale-ocean-sensing-robot-fleet-20260821</t>
        </is>
      </c>
      <c r="N94" s="7" t="inlineStr">
        <is>
          <t>Went quiet</t>
        </is>
      </c>
      <c r="O94" s="7" t="inlineStr">
        <is>
          <t>2024-02</t>
        </is>
      </c>
      <c r="P94" s="7" t="inlineStr">
        <is>
          <t>Own posts indexed from Aug 2022 (sea trial) and Feb 2024, titled "I've been pretty quiet on LinkedIn recently". Nothing indexed since.</t>
        </is>
      </c>
      <c r="Q94" s="7" t="n">
        <v>50</v>
      </c>
      <c r="R94" s="7">
        <f>IF(Q94&gt;=60,"Priority",IF(Q94&gt;=40,"Warm","Nurture"))</f>
        <v/>
      </c>
      <c r="S94" s="7" t="inlineStr">
        <is>
          <t>Ocean robots are visual and easy to share. The founder's own post title admits to being quiet on LinkedIn.</t>
        </is>
      </c>
      <c r="T94" s="7" t="inlineStr">
        <is>
          <t>Hi Anahita, congrats on the new round.
A fleet of ocean robots out of Plymouth is great to see.
Would be good to connect.</t>
        </is>
      </c>
      <c r="U94" s="7" t="inlineStr">
        <is>
          <t>Thanks for connecting, Anahita.
Your last post I found was titled "I've been pretty quiet on LinkedIn recently", from Feb 2024.
Want help so that doesn't happen again?</t>
        </is>
      </c>
      <c r="V94" s="7" t="inlineStr">
        <is>
          <t>Quiet since 2024; field footage content; defence and science buyers.</t>
        </is>
      </c>
      <c r="W94" s="7" t="inlineStr">
        <is>
          <t>Cite only the post title; text not read.</t>
        </is>
      </c>
      <c r="X94" s="9" t="inlineStr">
        <is>
          <t>anahita.laverack@oshensail.com</t>
        </is>
      </c>
      <c r="Y94" s="7" t="inlineStr">
        <is>
          <t>Not quiet this time</t>
        </is>
      </c>
      <c r="Z94" s="7" t="inlineStr">
        <is>
          <t>Hi Anahita,
Congrats on the new round.
Your last post I found was titled "I've been pretty quiet on LinkedIn recently", from Feb 2024. Ocean robots are easy to share, and the fleet story deserves a steady voice.
We build founder brands, from positioning to weekly posts.
Worth a 15-minute call?
Prabal
Gliped | LinkedIn personal branding for founders
Not relevant? Reply "no" and I won't follow up.</t>
        </is>
      </c>
      <c r="AA94" s="7" t="inlineStr">
        <is>
          <t>Verified</t>
        </is>
      </c>
      <c r="AB94" s="7" t="inlineStr">
        <is>
          <t>Prospeo SMTP CEO since Jan 2024, co-founder 2022; Plymouth; ex-Rolls-Royce</t>
        </is>
      </c>
    </row>
    <row r="95" ht="96" customHeight="1">
      <c r="A95" s="7" t="inlineStr">
        <is>
          <t>G094</t>
        </is>
      </c>
      <c r="B95" s="7" t="inlineStr">
        <is>
          <t>03</t>
        </is>
      </c>
      <c r="C95" s="7" t="inlineStr">
        <is>
          <t>2026-10-02</t>
        </is>
      </c>
      <c r="D95" s="7" t="inlineStr">
        <is>
          <t>Ilan Adler</t>
        </is>
      </c>
      <c r="E95" s="7" t="inlineStr">
        <is>
          <t>Founder &amp; CEO</t>
        </is>
      </c>
      <c r="F95" s="7" t="inlineStr">
        <is>
          <t>EcoNomad Solutions</t>
        </is>
      </c>
      <c r="G95" s="7" t="inlineStr">
        <is>
          <t>UK</t>
        </is>
      </c>
      <c r="H95" s="7" t="inlineStr">
        <is>
          <t>UK</t>
        </is>
      </c>
      <c r="I95" s="8" t="inlineStr">
        <is>
          <t>https://www.linkedin.com/in/ilan-adler-31226a72</t>
        </is>
      </c>
      <c r="J95" s="9" t="inlineStr">
        <is>
          <t>Yes</t>
        </is>
      </c>
      <c r="K95" s="7" t="inlineStr">
        <is>
          <t>GBP 400k round incl. British Design Fund (farm waste-to-energy)</t>
        </is>
      </c>
      <c r="L95" s="7" t="inlineStr">
        <is>
          <t>2026-08</t>
        </is>
      </c>
      <c r="M95" s="10" t="inlineStr">
        <is>
          <t>https://tech.eu/2026/08/19/economad-raises-ps400k-to-bring-waste-to-energy-tech-to-small-livestock-farms/</t>
        </is>
      </c>
      <c r="N95" s="7" t="inlineStr">
        <is>
          <t>Not indexed</t>
        </is>
      </c>
      <c r="O95" s="7" t="inlineStr"/>
      <c r="P95" s="7" t="inlineStr">
        <is>
          <t>Profile confirmed, no own posts indexed. Also an associate professor at UCL.</t>
        </is>
      </c>
      <c r="Q95" s="7" t="n">
        <v>40</v>
      </c>
      <c r="R95" s="7">
        <f>IF(Q95&gt;=60,"Priority",IF(Q95&gt;=40,"Warm","Nurture"))</f>
        <v/>
      </c>
      <c r="S95" s="7" t="inlineStr">
        <is>
          <t>An academic founder in agritech has credibility farmers and funders respect. It isn't visible on LinkedIn.</t>
        </is>
      </c>
      <c r="T95" s="7" t="inlineStr">
        <is>
          <t>Hi Ilan, congrats on the new round.
Waste-to-energy for small livestock farms fills a real gap.
Would be good to connect.</t>
        </is>
      </c>
      <c r="U95" s="7" t="inlineStr">
        <is>
          <t>Thanks for connecting, Ilan.
I couldn't find posts from you.
Would a steady voice help EcoNomad reach farmers and funders?</t>
        </is>
      </c>
      <c r="V95" s="7" t="inlineStr">
        <is>
          <t>No posts; academic credibility; farmer case studies.</t>
        </is>
      </c>
      <c r="W95" s="7" t="inlineStr">
        <is>
          <t>Academic: pitch time saved and distribution.</t>
        </is>
      </c>
      <c r="X95" s="9" t="inlineStr">
        <is>
          <t>ilan@economad.co.uk</t>
        </is>
      </c>
      <c r="Y95" s="7" t="inlineStr">
        <is>
          <t>EcoNomad's next round</t>
        </is>
      </c>
      <c r="Z95" s="7" t="inlineStr">
        <is>
          <t>Hi Ilan,
Congrats on the new round.
A UCL academic building for small farms has credibility farmers and funders respect. It isn't visible on LinkedIn yet.
We build founder voices without it eating your teaching or build time.
Open to a quick call?
Prabal
Gliped | LinkedIn personal branding for founders
Not relevant? Reply "no" and I won't follow up.</t>
        </is>
      </c>
      <c r="AA95" s="7" t="inlineStr">
        <is>
          <t>Verified</t>
        </is>
      </c>
      <c r="AB95" s="7" t="inlineStr">
        <is>
          <t>Prospeo BOUNCEBAN CEO/Founder since 2018; also Associate Professor at UCL</t>
        </is>
      </c>
    </row>
    <row r="96" ht="96" customHeight="1">
      <c r="A96" s="7" t="inlineStr">
        <is>
          <t>G095</t>
        </is>
      </c>
      <c r="B96" s="7" t="inlineStr">
        <is>
          <t>03</t>
        </is>
      </c>
      <c r="C96" s="7" t="inlineStr">
        <is>
          <t>2026-10-02</t>
        </is>
      </c>
      <c r="D96" s="7" t="inlineStr">
        <is>
          <t>Fozia Saleem</t>
        </is>
      </c>
      <c r="E96" s="7" t="inlineStr">
        <is>
          <t>CEO</t>
        </is>
      </c>
      <c r="F96" s="7" t="inlineStr">
        <is>
          <t>Magnitude Biosciences</t>
        </is>
      </c>
      <c r="G96" s="7" t="inlineStr">
        <is>
          <t>UK</t>
        </is>
      </c>
      <c r="H96" s="7" t="inlineStr">
        <is>
          <t>Durham</t>
        </is>
      </c>
      <c r="I96" s="8" t="inlineStr">
        <is>
          <t>https://www.linkedin.com/in/dr-fozia-saleem-b7762718</t>
        </is>
      </c>
      <c r="J96" s="9" t="inlineStr">
        <is>
          <t>Yes</t>
        </is>
      </c>
      <c r="K96" s="7" t="inlineStr">
        <is>
          <t>GBP 1.3M to scale in vivo drug discovery platform</t>
        </is>
      </c>
      <c r="L96" s="7" t="inlineStr">
        <is>
          <t>2026-09</t>
        </is>
      </c>
      <c r="M96" s="10" t="inlineStr">
        <is>
          <t>https://www.uktech.news/funding/magnitude-biosciences-raises-1-3m-to-scale-drug-discovery-platform-20260915</t>
        </is>
      </c>
      <c r="N96" s="7" t="inlineStr">
        <is>
          <t>Company-page voice</t>
        </is>
      </c>
      <c r="O96" s="7" t="inlineStr"/>
      <c r="P96" s="7" t="inlineStr">
        <is>
          <t>Only posts about the CEO indexed: the CEO welcome, Northern Power Women Future List, a funding talk. No own posts found.</t>
        </is>
      </c>
      <c r="Q96" s="7" t="n">
        <v>50</v>
      </c>
      <c r="R96" s="7">
        <f>IF(Q96&gt;=60,"Priority",IF(Q96&gt;=40,"Warm","Nurture"))</f>
        <v/>
      </c>
      <c r="S96" s="7" t="inlineStr">
        <is>
          <t>Recognised by others but not posting. Pharma buyers in the US market Magnitude is targeting would follow a CEO voice.</t>
        </is>
      </c>
      <c r="T96" s="7" t="inlineStr">
        <is>
          <t>Hi Fozia, congrats on the £1.3M round.
In vivo testing that cuts mammal studies is a strong pitch.
Would be good to connect.</t>
        </is>
      </c>
      <c r="U96" s="7" t="inlineStr">
        <is>
          <t>Thanks for connecting, Fozia.
Others post about you, from Northern Power Women to Magnitude's page.
Would you want your own voice doing that work?</t>
        </is>
      </c>
      <c r="V96" s="7" t="inlineStr">
        <is>
          <t>Recognition without own posts; US market content; drug discovery explained.</t>
        </is>
      </c>
      <c r="W96" s="7" t="inlineStr"/>
      <c r="X96" s="9" t="inlineStr">
        <is>
          <t>fozia@magnitudebiosciences.com</t>
        </is>
      </c>
      <c r="Y96" s="7" t="inlineStr">
        <is>
          <t>Your own voice, Fozia</t>
        </is>
      </c>
      <c r="Z96" s="7" t="inlineStr">
        <is>
          <t>Hi Fozia,
Congrats on the £1.3M round.
Others post about you, from Northern Power Women to Magnitude's page. Pharma buyers in the US would follow you directly.
We build CEO brands on LinkedIn, from positioning to weekly posts.
Worth a 15-minute call?
Prabal
Gliped | LinkedIn personal branding for founders
Not relevant? Reply "no" and I won't follow up.</t>
        </is>
      </c>
      <c r="AA96" s="7" t="inlineStr">
        <is>
          <t>Verified</t>
        </is>
      </c>
      <c r="AB96" s="7" t="inlineStr">
        <is>
          <t>Prospeo BOUNCEBAN CEO since Oct 2022; Newcastle; Northern Power Women Future List; ex-Broughton director</t>
        </is>
      </c>
    </row>
    <row r="97" ht="96" customHeight="1">
      <c r="A97" s="7" t="inlineStr">
        <is>
          <t>G096</t>
        </is>
      </c>
      <c r="B97" s="7" t="inlineStr">
        <is>
          <t>03</t>
        </is>
      </c>
      <c r="C97" s="7" t="inlineStr">
        <is>
          <t>2026-10-02</t>
        </is>
      </c>
      <c r="D97" s="7" t="inlineStr">
        <is>
          <t>Natasha Jones</t>
        </is>
      </c>
      <c r="E97" s="7" t="inlineStr">
        <is>
          <t>Co-founder &amp; CEO</t>
        </is>
      </c>
      <c r="F97" s="7" t="inlineStr">
        <is>
          <t>Metris Energy</t>
        </is>
      </c>
      <c r="G97" s="7" t="inlineStr">
        <is>
          <t>UK</t>
        </is>
      </c>
      <c r="H97" s="7" t="inlineStr">
        <is>
          <t>London</t>
        </is>
      </c>
      <c r="I97" s="8" t="inlineStr">
        <is>
          <t>https://www.linkedin.com/in/natasha-jones-url</t>
        </is>
      </c>
      <c r="J97" s="9" t="inlineStr">
        <is>
          <t>Yes</t>
        </is>
      </c>
      <c r="K97" s="7" t="inlineStr">
        <is>
          <t>$5M seed (AI platform for energy assets)</t>
        </is>
      </c>
      <c r="L97" s="7" t="inlineStr">
        <is>
          <t>2026-09</t>
        </is>
      </c>
      <c r="M97" s="10" t="inlineStr">
        <is>
          <t>https://www.finsmes.com/2026/09/metris-energy-raises-5m-in-seed-funding.html</t>
        </is>
      </c>
      <c r="N97" s="7" t="inlineStr">
        <is>
          <t>Went quiet</t>
        </is>
      </c>
      <c r="O97" s="7" t="inlineStr">
        <is>
          <t>2024-03</t>
        </is>
      </c>
      <c r="P97" s="7" t="inlineStr">
        <is>
          <t>One own post indexed, from Mar 2024 (Metris green building). Ex-Octopus Ventures investor, Forbes 30 Under 30.</t>
        </is>
      </c>
      <c r="Q97" s="7" t="n">
        <v>50</v>
      </c>
      <c r="R97" s="7">
        <f>IF(Q97&gt;=60,"Priority",IF(Q97&gt;=40,"Warm","Nurture"))</f>
        <v/>
      </c>
      <c r="S97" s="7" t="inlineStr">
        <is>
          <t>An ex-VC founder knows what investors read. Solar asset managers would follow that voice on the energy transition.</t>
        </is>
      </c>
      <c r="T97" s="7" t="inlineStr">
        <is>
          <t>Hi Natasha, congrats on the seed.
AI for solar asset managers is a smart wedge.
Would be good to connect.</t>
        </is>
      </c>
      <c r="U97" s="7" t="inlineStr">
        <is>
          <t>Thanks for connecting, Natasha.
The last post I found from you is from Mar 2024.
With the seed out, would you want a steadier voice?</t>
        </is>
      </c>
      <c r="V97" s="7" t="inlineStr">
        <is>
          <t>Quiet since 2024; ex-VC lens; asset manager content.</t>
        </is>
      </c>
      <c r="W97" s="7" t="inlineStr"/>
      <c r="X97" s="9" t="inlineStr">
        <is>
          <t>natasha@metrisenergy.com</t>
        </is>
      </c>
      <c r="Y97" s="7" t="inlineStr">
        <is>
          <t>Metris after the seed</t>
        </is>
      </c>
      <c r="Z97" s="7" t="inlineStr">
        <is>
          <t>Hi Natasha,
Congrats on the $5M seed.
The last post I found from you is from Mar 2024. You know from Octopus what investors read, and asset managers would follow your view too.
We build founder brands on LinkedIn, from positioning to weekly posts.
Worth a 15-minute call?
Prabal
Gliped | LinkedIn personal branding for founders
Not relevant? Reply "no" and I won't follow up.</t>
        </is>
      </c>
      <c r="AA97" s="7" t="inlineStr">
        <is>
          <t>Verified</t>
        </is>
      </c>
      <c r="AB97" s="7" t="inlineStr">
        <is>
          <t>Prospeo SMTP Co-Founder &amp; CEO; Forbes 30u30; ex-Octopus Ventures investor, Credit Suisse</t>
        </is>
      </c>
    </row>
    <row r="98" ht="96" customHeight="1">
      <c r="A98" s="7" t="inlineStr">
        <is>
          <t>G097</t>
        </is>
      </c>
      <c r="B98" s="7" t="inlineStr">
        <is>
          <t>03</t>
        </is>
      </c>
      <c r="C98" s="7" t="inlineStr">
        <is>
          <t>2026-10-02</t>
        </is>
      </c>
      <c r="D98" s="7" t="inlineStr">
        <is>
          <t>John Daley</t>
        </is>
      </c>
      <c r="E98" s="7" t="inlineStr">
        <is>
          <t>Co-founder &amp; CEO</t>
        </is>
      </c>
      <c r="F98" s="7" t="inlineStr">
        <is>
          <t>HelmGuard</t>
        </is>
      </c>
      <c r="G98" s="7" t="inlineStr">
        <is>
          <t>UK</t>
        </is>
      </c>
      <c r="H98" s="7" t="inlineStr">
        <is>
          <t>London</t>
        </is>
      </c>
      <c r="I98" s="8" t="inlineStr">
        <is>
          <t>https://www.linkedin.com/search/results/people/?keywords=John%20Daley%20HelmGuard</t>
        </is>
      </c>
      <c r="J98" s="9" t="inlineStr">
        <is>
          <t>No</t>
        </is>
      </c>
      <c r="K98" s="7" t="inlineStr">
        <is>
          <t>$7.3M seed (agentic GRC and security)</t>
        </is>
      </c>
      <c r="L98" s="7" t="inlineStr">
        <is>
          <t>2026-09</t>
        </is>
      </c>
      <c r="M98" s="10" t="inlineStr">
        <is>
          <t>https://www.finsmes.com/2026/09/helmguard-raises-7-3m-in-seed-funding.html</t>
        </is>
      </c>
      <c r="N98" s="7" t="inlineStr">
        <is>
          <t>Not indexed</t>
        </is>
      </c>
      <c r="O98" s="7" t="inlineStr"/>
      <c r="P98" s="7" t="inlineStr">
        <is>
          <t>Common name; no own posts matched to HelmGuard.</t>
        </is>
      </c>
      <c r="Q98" s="7" t="n">
        <v>50</v>
      </c>
      <c r="R98" s="7">
        <f>IF(Q98&gt;=60,"Priority",IF(Q98&gt;=40,"Warm","Nurture"))</f>
        <v/>
      </c>
      <c r="S98" s="7" t="inlineStr">
        <is>
          <t>Agentic GRC is new, and CISOs buy from people they trust. A founder voice explains the category.</t>
        </is>
      </c>
      <c r="T98" s="7" t="inlineStr">
        <is>
          <t>Hi John, congrats on the seed.
Agentic GRC is a timely space.
Would be good to connect.</t>
        </is>
      </c>
      <c r="U98" s="7" t="inlineStr">
        <is>
          <t>Thanks for connecting, John.
CISOs will look you up before a demo.
Is LinkedIn part of how you want to reach them?</t>
        </is>
      </c>
      <c r="V98" s="7" t="inlineStr">
        <is>
          <t>Confirm profile; explain agentic GRC; security leader content.</t>
        </is>
      </c>
      <c r="W98" s="7" t="inlineStr">
        <is>
          <t>VERIFY PROFILE. Common name. No email found.</t>
        </is>
      </c>
      <c r="X98" s="9" t="inlineStr"/>
      <c r="Y98" s="7" t="inlineStr">
        <is>
          <t>HelmGuard and CISOs</t>
        </is>
      </c>
      <c r="Z98" s="7" t="inlineStr">
        <is>
          <t>Hi John,
Congrats on the $7.3M seed.
Agentic GRC is new, and CISOs buy from people they trust. A founder voice explains the category before the demo.
We build founder brands on LinkedIn, from positioning to weekly posts.
Open to a quick call?
Prabal
Gliped | LinkedIn personal branding for founders
Not relevant? Reply "no" and I won't follow up.</t>
        </is>
      </c>
      <c r="AA98" s="7" t="inlineStr">
        <is>
          <t>Not found</t>
        </is>
      </c>
      <c r="AB98" s="7" t="inlineStr"/>
    </row>
    <row r="99" ht="96" customHeight="1">
      <c r="A99" s="7" t="inlineStr">
        <is>
          <t>G098</t>
        </is>
      </c>
      <c r="B99" s="7" t="inlineStr">
        <is>
          <t>03</t>
        </is>
      </c>
      <c r="C99" s="7" t="inlineStr">
        <is>
          <t>2026-10-02</t>
        </is>
      </c>
      <c r="D99" s="7" t="inlineStr">
        <is>
          <t>Khaled Eissa</t>
        </is>
      </c>
      <c r="E99" s="7" t="inlineStr">
        <is>
          <t>Co-founder &amp; CEO</t>
        </is>
      </c>
      <c r="F99" s="7" t="inlineStr">
        <is>
          <t>Eterna Regeneratives</t>
        </is>
      </c>
      <c r="G99" s="7" t="inlineStr">
        <is>
          <t>UK</t>
        </is>
      </c>
      <c r="H99" s="7" t="inlineStr">
        <is>
          <t>London</t>
        </is>
      </c>
      <c r="I99" s="8" t="inlineStr">
        <is>
          <t>https://www.linkedin.com/search/results/people/?keywords=Khaled%20Eissa%20Eterna%20Regeneratives</t>
        </is>
      </c>
      <c r="J99" s="9" t="inlineStr">
        <is>
          <t>No</t>
        </is>
      </c>
      <c r="K99" s="7" t="inlineStr">
        <is>
          <t>$4M seed (biomaterials for tissue regeneration)</t>
        </is>
      </c>
      <c r="L99" s="7" t="inlineStr">
        <is>
          <t>2026-09</t>
        </is>
      </c>
      <c r="M99" s="10" t="inlineStr">
        <is>
          <t>https://www.finsmes.com/2026/09/eterna-regeneratives-closes-seed-funding.html</t>
        </is>
      </c>
      <c r="N99" s="7" t="inlineStr">
        <is>
          <t>Not indexed</t>
        </is>
      </c>
      <c r="O99" s="7" t="inlineStr"/>
      <c r="P99" s="7" t="inlineStr">
        <is>
          <t>No own posts or confirmed profile found.</t>
        </is>
      </c>
      <c r="Q99" s="7" t="n">
        <v>40</v>
      </c>
      <c r="R99" s="7">
        <f>IF(Q99&gt;=60,"Priority",IF(Q99&gt;=40,"Warm","Nurture"))</f>
        <v/>
      </c>
      <c r="S99" s="7" t="inlineStr">
        <is>
          <t>Biomaterials for tissue regeneration is a hopeful story. A founder voice helps with partners and later rounds.</t>
        </is>
      </c>
      <c r="T99" s="7" t="inlineStr">
        <is>
          <t>Hi Khaled, congrats on the seed.
Biomaterials for tissue regeneration is exciting work.
Would be good to connect.</t>
        </is>
      </c>
      <c r="U99" s="7" t="inlineStr">
        <is>
          <t>Thanks for connecting, Khaled.
I couldn't find posts from you yet.
Would a founder voice help Eterna with partners?</t>
        </is>
      </c>
      <c r="V99" s="7" t="inlineStr">
        <is>
          <t>Confirm profile; science explained; partner content.</t>
        </is>
      </c>
      <c r="W99" s="7" t="inlineStr">
        <is>
          <t>VERIFY PROFILE. No email found.</t>
        </is>
      </c>
      <c r="X99" s="9" t="inlineStr"/>
      <c r="Y99" s="7" t="inlineStr">
        <is>
          <t>Eterna's story</t>
        </is>
      </c>
      <c r="Z99" s="7" t="inlineStr">
        <is>
          <t>Hi Khaled,
Congrats on the $4M seed.
Tissue regeneration is a hopeful story, and partners and investors listen to founders who explain it clearly. I couldn't find posts from you yet.
We build founder brands on LinkedIn.
Want the 3-point teardown instead?
Prabal
Gliped | LinkedIn personal branding for founders
Not relevant? Reply "no" and I won't follow up.</t>
        </is>
      </c>
      <c r="AA99" s="7" t="inlineStr">
        <is>
          <t>Not found</t>
        </is>
      </c>
      <c r="AB99" s="7" t="inlineStr"/>
    </row>
    <row r="100" ht="96" customHeight="1">
      <c r="A100" s="7" t="inlineStr">
        <is>
          <t>G099</t>
        </is>
      </c>
      <c r="B100" s="7" t="inlineStr">
        <is>
          <t>03</t>
        </is>
      </c>
      <c r="C100" s="7" t="inlineStr">
        <is>
          <t>2026-10-02</t>
        </is>
      </c>
      <c r="D100" s="7" t="inlineStr">
        <is>
          <t>Alex Packham</t>
        </is>
      </c>
      <c r="E100" s="7" t="inlineStr">
        <is>
          <t>Co-founder</t>
        </is>
      </c>
      <c r="F100" s="7" t="inlineStr">
        <is>
          <t>AcademyAI</t>
        </is>
      </c>
      <c r="G100" s="7" t="inlineStr">
        <is>
          <t>UK</t>
        </is>
      </c>
      <c r="H100" s="7" t="inlineStr">
        <is>
          <t>UK</t>
        </is>
      </c>
      <c r="I100" s="8" t="inlineStr">
        <is>
          <t>https://www.linkedin.com/search/results/people/?keywords=Alex%20Packham%20AcademyAI</t>
        </is>
      </c>
      <c r="J100" s="9" t="inlineStr">
        <is>
          <t>No</t>
        </is>
      </c>
      <c r="K100" s="7" t="inlineStr">
        <is>
          <t>GBP 1.65M pre-seed (workplace AI skills)</t>
        </is>
      </c>
      <c r="L100" s="7" t="inlineStr">
        <is>
          <t>2026-09</t>
        </is>
      </c>
      <c r="M100" s="10" t="inlineStr">
        <is>
          <t>https://tech.eu/2026/09/15/academyai-raises-ps165m-to-close-the-workplace-ai-skills-gap/</t>
        </is>
      </c>
      <c r="N100" s="7" t="inlineStr">
        <is>
          <t>Not indexed</t>
        </is>
      </c>
      <c r="O100" s="7" t="inlineStr"/>
      <c r="P100" s="7" t="inlineStr">
        <is>
          <t>No own posts or confirmed profile found.</t>
        </is>
      </c>
      <c r="Q100" s="7" t="n">
        <v>40</v>
      </c>
      <c r="R100" s="7">
        <f>IF(Q100&gt;=60,"Priority",IF(Q100&gt;=40,"Warm","Nurture"))</f>
        <v/>
      </c>
      <c r="S100" s="7" t="inlineStr">
        <is>
          <t>AcademyAI sells AI skills to workplaces. The founder's LinkedIn is the first demo HR buyers see.</t>
        </is>
      </c>
      <c r="T100" s="7" t="inlineStr">
        <is>
          <t>Hi Alex, congrats on the pre-seed.
The workplace AI skills gap is real.
Would be good to connect.</t>
        </is>
      </c>
      <c r="U100" s="7" t="inlineStr">
        <is>
          <t>Thanks for connecting, Alex.
HR and L&amp;D buyers will look you up first.
Is LinkedIn part of how you want to reach them?</t>
        </is>
      </c>
      <c r="V100" s="7" t="inlineStr">
        <is>
          <t>Confirm profile; AI skills content; L&amp;D buyer content.</t>
        </is>
      </c>
      <c r="W100" s="7" t="inlineStr">
        <is>
          <t>VERIFY PROFILE. No email found.</t>
        </is>
      </c>
      <c r="X100" s="9" t="inlineStr"/>
      <c r="Y100" s="7" t="inlineStr">
        <is>
          <t>AcademyAI's first demo</t>
        </is>
      </c>
      <c r="Z100" s="7" t="inlineStr">
        <is>
          <t>Hi Alex,
Congrats on the £1.65M pre-seed.
You sell AI skills to workplaces, and HR buyers will check your LinkedIn first. Your profile is the first demo.
We build founder brands on LinkedIn, from positioning to weekly posts.
Want the 3-point teardown instead?
Prabal
Gliped | LinkedIn personal branding for founders
Not relevant? Reply "no" and I won't follow up.</t>
        </is>
      </c>
      <c r="AA100" s="7" t="inlineStr">
        <is>
          <t>Not found</t>
        </is>
      </c>
      <c r="AB100" s="7" t="inlineStr"/>
    </row>
    <row r="101" ht="96" customHeight="1">
      <c r="A101" s="7" t="inlineStr">
        <is>
          <t>G100</t>
        </is>
      </c>
      <c r="B101" s="7" t="inlineStr">
        <is>
          <t>03</t>
        </is>
      </c>
      <c r="C101" s="7" t="inlineStr">
        <is>
          <t>2026-10-02</t>
        </is>
      </c>
      <c r="D101" s="7" t="inlineStr">
        <is>
          <t>Kerstin Papenfuss</t>
        </is>
      </c>
      <c r="E101" s="7" t="inlineStr">
        <is>
          <t>Co-founder &amp; CEO</t>
        </is>
      </c>
      <c r="F101" s="7" t="inlineStr">
        <is>
          <t>Big Picture Bio</t>
        </is>
      </c>
      <c r="G101" s="7" t="inlineStr">
        <is>
          <t>UK</t>
        </is>
      </c>
      <c r="H101" s="7" t="inlineStr">
        <is>
          <t>UK</t>
        </is>
      </c>
      <c r="I101" s="8" t="inlineStr">
        <is>
          <t>https://www.linkedin.com/search/results/people/?keywords=Kerstin%20Papenfuss%20Big%20Picture%20Bio</t>
        </is>
      </c>
      <c r="J101" s="9" t="inlineStr">
        <is>
          <t>No</t>
        </is>
      </c>
      <c r="K101" s="7" t="inlineStr">
        <is>
          <t>GBP 1.5M pre-seed plus GBP 700k Innovate UK (cancer combination therapies)</t>
        </is>
      </c>
      <c r="L101" s="7" t="inlineStr">
        <is>
          <t>2026-09</t>
        </is>
      </c>
      <c r="M101" s="10" t="inlineStr">
        <is>
          <t>https://www.finsmes.com/2026/09/big-picture-bio-raises-1-5m-in-pre-seed-funding.html</t>
        </is>
      </c>
      <c r="N101" s="7" t="inlineStr">
        <is>
          <t>Not indexed</t>
        </is>
      </c>
      <c r="O101" s="7" t="inlineStr"/>
      <c r="P101" s="7" t="inlineStr">
        <is>
          <t>No own posts or confirmed profile found.</t>
        </is>
      </c>
      <c r="Q101" s="7" t="n">
        <v>40</v>
      </c>
      <c r="R101" s="7">
        <f>IF(Q101&gt;=60,"Priority",IF(Q101&gt;=40,"Warm","Nurture"))</f>
        <v/>
      </c>
      <c r="S101" s="7" t="inlineStr">
        <is>
          <t>Cancer combination therapies are complex. A clear founder voice helps with pharma partners and the next round.</t>
        </is>
      </c>
      <c r="T101" s="7" t="inlineStr">
        <is>
          <t>Hi Kerstin, congrats on the pre-seed and Innovate UK grant.
Finding better cancer combinations is important work.
Would be good to connect.</t>
        </is>
      </c>
      <c r="U101" s="7" t="inlineStr">
        <is>
          <t>Thanks for connecting, Kerstin.
I couldn't find posts from you yet.
Would a founder voice help Big Picture Bio with partners?</t>
        </is>
      </c>
      <c r="V101" s="7" t="inlineStr">
        <is>
          <t>Confirm profile; science explained; partner content.</t>
        </is>
      </c>
      <c r="W101" s="7" t="inlineStr">
        <is>
          <t>VERIFY PROFILE. No email found.</t>
        </is>
      </c>
      <c r="X101" s="9" t="inlineStr"/>
      <c r="Y101" s="7" t="inlineStr">
        <is>
          <t>Big Picture Bio's story</t>
        </is>
      </c>
      <c r="Z101" s="7" t="inlineStr">
        <is>
          <t>Hi Kerstin,
Congrats on the pre-seed and the Innovate UK grant.
Cancer combination therapies are complex, and partners respond to founders who explain them clearly. I couldn't find posts from you yet.
We build founder brands on LinkedIn.
Want the 3-point teardown instead?
Prabal
Gliped | LinkedIn personal branding for founders
Not relevant? Reply "no" and I won't follow up.</t>
        </is>
      </c>
      <c r="AA101" s="7" t="inlineStr">
        <is>
          <t>Not found</t>
        </is>
      </c>
      <c r="AB101" s="7" t="inlineStr"/>
    </row>
    <row r="102" ht="96" customHeight="1">
      <c r="A102" s="7" t="inlineStr">
        <is>
          <t>G101</t>
        </is>
      </c>
      <c r="B102" s="7" t="inlineStr">
        <is>
          <t>03</t>
        </is>
      </c>
      <c r="C102" s="7" t="inlineStr">
        <is>
          <t>2026-10-02</t>
        </is>
      </c>
      <c r="D102" s="7" t="inlineStr">
        <is>
          <t>Alex Toporek</t>
        </is>
      </c>
      <c r="E102" s="7" t="inlineStr">
        <is>
          <t>Co-founder &amp; CEO</t>
        </is>
      </c>
      <c r="F102" s="7" t="inlineStr">
        <is>
          <t>Rebuild</t>
        </is>
      </c>
      <c r="G102" s="7" t="inlineStr">
        <is>
          <t>US</t>
        </is>
      </c>
      <c r="H102" s="7" t="inlineStr">
        <is>
          <t>New York</t>
        </is>
      </c>
      <c r="I102" s="8" t="inlineStr">
        <is>
          <t>https://www.linkedin.com/in/alex-toporek</t>
        </is>
      </c>
      <c r="J102" s="9" t="inlineStr">
        <is>
          <t>Yes</t>
        </is>
      </c>
      <c r="K102" s="7" t="inlineStr">
        <is>
          <t>$13M+ (AI OS for property restoration)</t>
        </is>
      </c>
      <c r="L102" s="7" t="inlineStr">
        <is>
          <t>2026-09</t>
        </is>
      </c>
      <c r="M102" s="10" t="inlineStr">
        <is>
          <t>https://www.finsmes.com/2026/09/rebuild-raises-over-13m-in-funding.html</t>
        </is>
      </c>
      <c r="N102" s="7" t="inlineStr">
        <is>
          <t>Not indexed</t>
        </is>
      </c>
      <c r="O102" s="7" t="inlineStr"/>
      <c r="P102" s="7" t="inlineStr">
        <is>
          <t>Profile confirmed, no own posts indexed. Ex-25madison incubations and DoorDash.</t>
        </is>
      </c>
      <c r="Q102" s="7" t="n">
        <v>50</v>
      </c>
      <c r="R102" s="7">
        <f>IF(Q102&gt;=60,"Priority",IF(Q102&gt;=40,"Warm","Nurture"))</f>
        <v/>
      </c>
      <c r="S102" s="7" t="inlineStr">
        <is>
          <t>Restoration contractors are a tight trade community. A founder who shows up there wins word of mouth.</t>
        </is>
      </c>
      <c r="T102" s="7" t="inlineStr">
        <is>
          <t>Hi Alex, congrats on the new funding.
An AI OS for restoration contractors is a smart niche.
Would be good to connect.</t>
        </is>
      </c>
      <c r="U102" s="7" t="inlineStr">
        <is>
          <t>Thanks for connecting, Alex.
I couldn't find posts from you.
Is LinkedIn part of how you want to reach restoration contractors?</t>
        </is>
      </c>
      <c r="V102" s="7" t="inlineStr">
        <is>
          <t>No posts; contractor community content; hiring.</t>
        </is>
      </c>
      <c r="W102" s="7" t="inlineStr">
        <is>
          <t>Headline says Rebuild is hiring.</t>
        </is>
      </c>
      <c r="X102" s="9" t="inlineStr">
        <is>
          <t>alex@rebuild.work</t>
        </is>
      </c>
      <c r="Y102" s="7" t="inlineStr">
        <is>
          <t>Rebuild and contractors</t>
        </is>
      </c>
      <c r="Z102" s="7" t="inlineStr">
        <is>
          <t>Hi Alex,
Congrats on the new funding.
Restoration contractors are a tight community that runs on word of mouth. A founder voice on LinkedIn is how Rebuild gets talked about.
We build founder brands, from positioning to weekly posts.
Worth a 15-minute call next week?
Prabal
Gliped | LinkedIn personal branding for founders
Not relevant? Reply "no" and I won't follow up.</t>
        </is>
      </c>
      <c r="AA102" s="7" t="inlineStr">
        <is>
          <t>Verified</t>
        </is>
      </c>
      <c r="AB102" s="7" t="inlineStr">
        <is>
          <t>Prospeo BOUNCEBAN Co-Founder &amp; CEO; Manhattan; ex-25madison incubations, DoorDash</t>
        </is>
      </c>
    </row>
    <row r="103" ht="96" customHeight="1">
      <c r="A103" s="7" t="inlineStr">
        <is>
          <t>G102</t>
        </is>
      </c>
      <c r="B103" s="7" t="inlineStr">
        <is>
          <t>03</t>
        </is>
      </c>
      <c r="C103" s="7" t="inlineStr">
        <is>
          <t>2026-10-02</t>
        </is>
      </c>
      <c r="D103" s="7" t="inlineStr">
        <is>
          <t>Nabeel Alamgir</t>
        </is>
      </c>
      <c r="E103" s="7" t="inlineStr">
        <is>
          <t>Co-founder</t>
        </is>
      </c>
      <c r="F103" s="7" t="inlineStr">
        <is>
          <t>Fin.com</t>
        </is>
      </c>
      <c r="G103" s="7" t="inlineStr">
        <is>
          <t>US</t>
        </is>
      </c>
      <c r="H103" s="7" t="inlineStr">
        <is>
          <t>New York</t>
        </is>
      </c>
      <c r="I103" s="8" t="inlineStr">
        <is>
          <t>https://www.linkedin.com/search/results/people/?keywords=Nabeel%20Alamgir%20Fin.com</t>
        </is>
      </c>
      <c r="J103" s="9" t="inlineStr">
        <is>
          <t>No</t>
        </is>
      </c>
      <c r="K103" s="7" t="inlineStr">
        <is>
          <t>$20M seed (global money movement network)</t>
        </is>
      </c>
      <c r="L103" s="7" t="inlineStr">
        <is>
          <t>2026-09</t>
        </is>
      </c>
      <c r="M103" s="10" t="inlineStr">
        <is>
          <t>https://www.finsmes.com/2026/09/fin-com-raises-20m-in-seed-funding.html</t>
        </is>
      </c>
      <c r="N103" s="7" t="inlineStr">
        <is>
          <t>Not indexed</t>
        </is>
      </c>
      <c r="O103" s="7" t="inlineStr"/>
      <c r="P103" s="7" t="inlineStr">
        <is>
          <t>No own posts or confirmed profile found.</t>
        </is>
      </c>
      <c r="Q103" s="7" t="n">
        <v>50</v>
      </c>
      <c r="R103" s="7">
        <f>IF(Q103&gt;=60,"Priority",IF(Q103&gt;=40,"Warm","Nurture"))</f>
        <v/>
      </c>
      <c r="S103" s="7" t="inlineStr">
        <is>
          <t>A $20M seed for money movement draws attention from banks and partners. A founder voice explains the network.</t>
        </is>
      </c>
      <c r="T103" s="7" t="inlineStr">
        <is>
          <t>Hi Nabeel, congrats on the $20M seed.
A global money movement network is a big ambition.
Would be good to connect.</t>
        </is>
      </c>
      <c r="U103" s="7" t="inlineStr">
        <is>
          <t>Thanks for connecting, Nabeel.
A seed that size makes people ask who's behind Fin.com.
Is LinkedIn part of your answer?</t>
        </is>
      </c>
      <c r="V103" s="7" t="inlineStr">
        <is>
          <t>Confirm profile; thesis post; partner content.</t>
        </is>
      </c>
      <c r="W103" s="7" t="inlineStr">
        <is>
          <t>VERIFY PROFILE. No email found.</t>
        </is>
      </c>
      <c r="X103" s="9" t="inlineStr"/>
      <c r="Y103" s="7" t="inlineStr">
        <is>
          <t>Fin.com's founder voice</t>
        </is>
      </c>
      <c r="Z103" s="7" t="inlineStr">
        <is>
          <t>Hi Nabeel,
Congrats on the $20M seed.
A seed that size makes banks and partners ask who's behind Fin.com. A founder voice on LinkedIn answers that before the first meeting.
We build founder brands, from positioning to weekly posts.
Worth a 15-minute call?
Prabal
Gliped | LinkedIn personal branding for founders
Not relevant? Reply "no" and I won't follow up.</t>
        </is>
      </c>
      <c r="AA103" s="7" t="inlineStr">
        <is>
          <t>Not found</t>
        </is>
      </c>
      <c r="AB103" s="7" t="inlineStr"/>
    </row>
    <row r="104" ht="96" customHeight="1">
      <c r="A104" s="7" t="inlineStr">
        <is>
          <t>G103</t>
        </is>
      </c>
      <c r="B104" s="7" t="inlineStr">
        <is>
          <t>03</t>
        </is>
      </c>
      <c r="C104" s="7" t="inlineStr">
        <is>
          <t>2026-10-02</t>
        </is>
      </c>
      <c r="D104" s="7" t="inlineStr">
        <is>
          <t>Calvin Chen</t>
        </is>
      </c>
      <c r="E104" s="7" t="inlineStr">
        <is>
          <t>Co-founder &amp; CEO</t>
        </is>
      </c>
      <c r="F104" s="7" t="inlineStr">
        <is>
          <t>Proximal</t>
        </is>
      </c>
      <c r="G104" s="7" t="inlineStr">
        <is>
          <t>US</t>
        </is>
      </c>
      <c r="H104" s="7" t="inlineStr">
        <is>
          <t>San Francisco</t>
        </is>
      </c>
      <c r="I104" s="8" t="inlineStr">
        <is>
          <t>https://www.linkedin.com/search/results/people/?keywords=Calvin%20Chen%20Proximal</t>
        </is>
      </c>
      <c r="J104" s="9" t="inlineStr">
        <is>
          <t>No</t>
        </is>
      </c>
      <c r="K104" s="7" t="inlineStr">
        <is>
          <t>$15M seed led by General Catalyst at $300M valuation; $200M annualised revenue</t>
        </is>
      </c>
      <c r="L104" s="7" t="inlineStr">
        <is>
          <t>2026-09</t>
        </is>
      </c>
      <c r="M104" s="10" t="inlineStr">
        <is>
          <t>https://www.finsmes.com/2026/09/proximal-raises-usd15m-in-funding-at-usd300m-valuation.html</t>
        </is>
      </c>
      <c r="N104" s="7" t="inlineStr">
        <is>
          <t>Not indexed</t>
        </is>
      </c>
      <c r="O104" s="7" t="inlineStr"/>
      <c r="P104" s="7" t="inlineStr">
        <is>
          <t>Common name; no own posts matched to Proximal.</t>
        </is>
      </c>
      <c r="Q104" s="7" t="n">
        <v>50</v>
      </c>
      <c r="R104" s="7">
        <f>IF(Q104&gt;=60,"Priority",IF(Q104&gt;=40,"Warm","Nurture"))</f>
        <v/>
      </c>
      <c r="S104" s="7" t="inlineStr">
        <is>
          <t>$200M in annualised revenue at seed is a story people want to hear. The founder is the one to tell it.</t>
        </is>
      </c>
      <c r="T104" s="7" t="inlineStr">
        <is>
          <t>Hi Calvin, congrats on the round with General Catalyst.
$200M annualised revenue at that stage is remarkable.
Would be good to connect.</t>
        </is>
      </c>
      <c r="U104" s="7" t="inlineStr">
        <is>
          <t>Thanks for connecting, Calvin.
Numbers like Proximal's get people curious about the founder.
Is LinkedIn part of how you want to use that?</t>
        </is>
      </c>
      <c r="V104" s="7" t="inlineStr">
        <is>
          <t>Confirm profile; growth story; hiring.</t>
        </is>
      </c>
      <c r="W104" s="7" t="inlineStr">
        <is>
          <t>VERIFY PROFILE. Common name. No email found.</t>
        </is>
      </c>
      <c r="X104" s="9" t="inlineStr"/>
      <c r="Y104" s="7" t="inlineStr">
        <is>
          <t>Proximal's story</t>
        </is>
      </c>
      <c r="Z104" s="7" t="inlineStr">
        <is>
          <t>Hi Calvin,
Congrats on the round with General Catalyst.
$200M in annualised revenue gets people curious about the founder. That attention is worth using for hiring and partnerships.
We build founder brands on LinkedIn, from positioning to weekly posts.
Open to a quick call?
Prabal
Gliped | LinkedIn personal branding for founders
Not relevant? Reply "no" and I won't follow up.</t>
        </is>
      </c>
      <c r="AA104" s="7" t="inlineStr">
        <is>
          <t>Not found</t>
        </is>
      </c>
      <c r="AB104" s="7" t="inlineStr"/>
    </row>
    <row r="105" ht="96" customHeight="1">
      <c r="A105" s="7" t="inlineStr">
        <is>
          <t>G104</t>
        </is>
      </c>
      <c r="B105" s="7" t="inlineStr">
        <is>
          <t>03</t>
        </is>
      </c>
      <c r="C105" s="7" t="inlineStr">
        <is>
          <t>2026-10-02</t>
        </is>
      </c>
      <c r="D105" s="7" t="inlineStr">
        <is>
          <t>Siddharth Ram</t>
        </is>
      </c>
      <c r="E105" s="7" t="inlineStr">
        <is>
          <t>Co-founder &amp; CEO</t>
        </is>
      </c>
      <c r="F105" s="7" t="inlineStr">
        <is>
          <t>Intermezzo</t>
        </is>
      </c>
      <c r="G105" s="7" t="inlineStr">
        <is>
          <t>US</t>
        </is>
      </c>
      <c r="H105" s="7" t="inlineStr">
        <is>
          <t>US</t>
        </is>
      </c>
      <c r="I105" s="8" t="inlineStr">
        <is>
          <t>https://www.linkedin.com/search/results/people/?keywords=Siddharth%20Ram%20Intermezzo</t>
        </is>
      </c>
      <c r="J105" s="9" t="inlineStr">
        <is>
          <t>No</t>
        </is>
      </c>
      <c r="K105" s="7" t="inlineStr">
        <is>
          <t>$10M (AI-native global payroll); ex-Intuit chief architect</t>
        </is>
      </c>
      <c r="L105" s="7" t="inlineStr">
        <is>
          <t>2026-09</t>
        </is>
      </c>
      <c r="M105" s="10" t="inlineStr">
        <is>
          <t>https://www.finsmes.com/2026/09/intermezzo-raises-10m-in-funding.html</t>
        </is>
      </c>
      <c r="N105" s="7" t="inlineStr">
        <is>
          <t>Not indexed</t>
        </is>
      </c>
      <c r="O105" s="7" t="inlineStr"/>
      <c r="P105" s="7" t="inlineStr">
        <is>
          <t>No own posts or confirmed profile found. Ex-Intuit chief architect.</t>
        </is>
      </c>
      <c r="Q105" s="7" t="n">
        <v>50</v>
      </c>
      <c r="R105" s="7">
        <f>IF(Q105&gt;=60,"Priority",IF(Q105&gt;=40,"Warm","Nurture"))</f>
        <v/>
      </c>
      <c r="S105" s="7" t="inlineStr">
        <is>
          <t>An ex-Intuit chief architect building payroll has instant credibility. It should be visible where buyers look.</t>
        </is>
      </c>
      <c r="T105" s="7" t="inlineStr">
        <is>
          <t>Hi Siddharth, congrats on the $10M round.
AI-native global payroll after Intuit makes sense.
Would be good to connect.</t>
        </is>
      </c>
      <c r="U105" s="7" t="inlineStr">
        <is>
          <t>Thanks for connecting, Siddharth.
Your Intuit background is a strong hook.
Would you want it working on LinkedIn for Intermezzo?</t>
        </is>
      </c>
      <c r="V105" s="7" t="inlineStr">
        <is>
          <t>Confirm profile; Intuit to founder story; payroll content.</t>
        </is>
      </c>
      <c r="W105" s="7" t="inlineStr">
        <is>
          <t>VERIFY PROFILE. No email found.</t>
        </is>
      </c>
      <c r="X105" s="9" t="inlineStr"/>
      <c r="Y105" s="7" t="inlineStr">
        <is>
          <t>From Intuit to Intermezzo</t>
        </is>
      </c>
      <c r="Z105" s="7" t="inlineStr">
        <is>
          <t>Hi Siddharth,
Congrats on the $10M round.
An ex-Intuit chief architect building payroll is a strong hook for buyers. I couldn't find it working on LinkedIn yet.
We build founder brands, from positioning to weekly posts.
Worth a 15-minute call?
Prabal
Gliped | LinkedIn personal branding for founders
Not relevant? Reply "no" and I won't follow up.</t>
        </is>
      </c>
      <c r="AA105" s="7" t="inlineStr">
        <is>
          <t>Not found</t>
        </is>
      </c>
      <c r="AB105" s="7" t="inlineStr"/>
    </row>
    <row r="106" ht="96" customHeight="1">
      <c r="A106" s="7" t="inlineStr">
        <is>
          <t>G105</t>
        </is>
      </c>
      <c r="B106" s="7" t="inlineStr">
        <is>
          <t>03</t>
        </is>
      </c>
      <c r="C106" s="7" t="inlineStr">
        <is>
          <t>2026-10-02</t>
        </is>
      </c>
      <c r="D106" s="7" t="inlineStr">
        <is>
          <t>Marc Theermann</t>
        </is>
      </c>
      <c r="E106" s="7" t="inlineStr">
        <is>
          <t>Co-founder &amp; CEO</t>
        </is>
      </c>
      <c r="F106" s="7" t="inlineStr">
        <is>
          <t>Dynamic Creatures</t>
        </is>
      </c>
      <c r="G106" s="7" t="inlineStr">
        <is>
          <t>US</t>
        </is>
      </c>
      <c r="H106" s="7" t="inlineStr">
        <is>
          <t>Boston</t>
        </is>
      </c>
      <c r="I106" s="8" t="inlineStr">
        <is>
          <t>https://www.linkedin.com/in/theermann</t>
        </is>
      </c>
      <c r="J106" s="9" t="inlineStr">
        <is>
          <t>Yes</t>
        </is>
      </c>
      <c r="K106" s="7" t="inlineStr">
        <is>
          <t>Seed funding, out of stealth (hospitality robotics); ex-Boston Dynamics CSO</t>
        </is>
      </c>
      <c r="L106" s="7" t="inlineStr">
        <is>
          <t>2026-09</t>
        </is>
      </c>
      <c r="M106" s="10" t="inlineStr">
        <is>
          <t>https://www.finsmes.com/2026/09/dynamic-creatures-raises-seed-funding.html</t>
        </is>
      </c>
      <c r="N106" s="7" t="inlineStr">
        <is>
          <t>Went quiet</t>
        </is>
      </c>
      <c r="O106" s="7" t="inlineStr">
        <is>
          <t>2023-11</t>
        </is>
      </c>
      <c r="P106" s="7" t="inlineStr">
        <is>
          <t>Own posts indexed Jun 2022 to Nov 2023 as Boston Dynamics CSO: partner ecosystem, Spot ROS wrapper, Korea trip, summer Fridays. Nothing indexed as a founder.</t>
        </is>
      </c>
      <c r="Q106" s="7" t="n">
        <v>50</v>
      </c>
      <c r="R106" s="7">
        <f>IF(Q106&gt;=60,"Priority",IF(Q106&gt;=40,"Warm","Nurture"))</f>
        <v/>
      </c>
      <c r="S106" s="7" t="inlineStr">
        <is>
          <t>Had a voice at Boston Dynamics. Now it should work for Dynamic Creatures.</t>
        </is>
      </c>
      <c r="T106" s="7" t="inlineStr">
        <is>
          <t>Hi Marc, congrats on the seed and the launch.
Hospitality robotics after Boston Dynamics is a great next step.
Would be good to connect.</t>
        </is>
      </c>
      <c r="U106" s="7" t="inlineStr">
        <is>
          <t>Thanks for connecting, Marc.
You posted regularly at Boston Dynamics, and the last post I found is from Nov 2023.
Would you want that voice back for Dynamic Creatures?</t>
        </is>
      </c>
      <c r="V106" s="7" t="inlineStr">
        <is>
          <t>Quiet since 2023; founder story; hospitality buyer content.</t>
        </is>
      </c>
      <c r="W106" s="7" t="inlineStr">
        <is>
          <t>No email found.</t>
        </is>
      </c>
      <c r="X106" s="9" t="inlineStr"/>
      <c r="Y106" s="7" t="inlineStr">
        <is>
          <t>Your voice, your company</t>
        </is>
      </c>
      <c r="Z106" s="7" t="inlineStr">
        <is>
          <t>Hi Marc,
Congrats on the seed and the launch.
You posted regularly at Boston Dynamics, and the last post I found is from Nov 2023. Hospitality buyers would follow you now that it's your own company.
We build founder brands on LinkedIn, from positioning to weekly posts.
Worth a 15-minute call?
Prabal
Gliped | LinkedIn personal branding for founders
Not relevant? Reply "no" and I won't follow up.</t>
        </is>
      </c>
      <c r="AA106" s="7" t="inlineStr">
        <is>
          <t>Not found</t>
        </is>
      </c>
      <c r="AB106" s="7" t="inlineStr"/>
    </row>
    <row r="107" ht="96" customHeight="1">
      <c r="A107" s="7" t="inlineStr">
        <is>
          <t>G106</t>
        </is>
      </c>
      <c r="B107" s="7" t="inlineStr">
        <is>
          <t>03</t>
        </is>
      </c>
      <c r="C107" s="7" t="inlineStr">
        <is>
          <t>2026-10-02</t>
        </is>
      </c>
      <c r="D107" s="7" t="inlineStr">
        <is>
          <t>Michael Assraf</t>
        </is>
      </c>
      <c r="E107" s="7" t="inlineStr">
        <is>
          <t>Founder &amp; CEO</t>
        </is>
      </c>
      <c r="F107" s="7" t="inlineStr">
        <is>
          <t>Flamingo</t>
        </is>
      </c>
      <c r="G107" s="7" t="inlineStr">
        <is>
          <t>US</t>
        </is>
      </c>
      <c r="H107" s="7" t="inlineStr">
        <is>
          <t>Miami Beach</t>
        </is>
      </c>
      <c r="I107" s="8" t="inlineStr">
        <is>
          <t>https://www.linkedin.com/search/results/people/?keywords=Michael%20Assraf%20Flamingo</t>
        </is>
      </c>
      <c r="J107" s="9" t="inlineStr">
        <is>
          <t>No</t>
        </is>
      </c>
      <c r="K107" s="7" t="inlineStr">
        <is>
          <t>$4.5M seed (AI and IT infrastructure software)</t>
        </is>
      </c>
      <c r="L107" s="7" t="inlineStr">
        <is>
          <t>2026-09</t>
        </is>
      </c>
      <c r="M107" s="10" t="inlineStr">
        <is>
          <t>https://www.finsmes.com/2026/09/flamingo-raises-4-5m-in-seed-funding.html</t>
        </is>
      </c>
      <c r="N107" s="7" t="inlineStr">
        <is>
          <t>Not indexed</t>
        </is>
      </c>
      <c r="O107" s="7" t="inlineStr"/>
      <c r="P107" s="7" t="inlineStr">
        <is>
          <t>No own posts or confirmed profile found.</t>
        </is>
      </c>
      <c r="Q107" s="7" t="n">
        <v>40</v>
      </c>
      <c r="R107" s="7">
        <f>IF(Q107&gt;=60,"Priority",IF(Q107&gt;=40,"Warm","Nurture"))</f>
        <v/>
      </c>
      <c r="S107" s="7" t="inlineStr">
        <is>
          <t>IT buyers trust people who understand their problems. A founder voice makes Flamingo easier to trust.</t>
        </is>
      </c>
      <c r="T107" s="7" t="inlineStr">
        <is>
          <t>Hi Michael, congrats on the seed.
AI for IT infrastructure is a crowded space, and Flamingo stands out.
Would be good to connect.</t>
        </is>
      </c>
      <c r="U107" s="7" t="inlineStr">
        <is>
          <t>Thanks for connecting, Michael.
I couldn't find posts from you yet.
Is LinkedIn part of how you want to reach IT leaders?</t>
        </is>
      </c>
      <c r="V107" s="7" t="inlineStr">
        <is>
          <t>Confirm profile; IT leader content; product story.</t>
        </is>
      </c>
      <c r="W107" s="7" t="inlineStr">
        <is>
          <t>VERIFY PROFILE. No email found.</t>
        </is>
      </c>
      <c r="X107" s="9" t="inlineStr"/>
      <c r="Y107" s="7" t="inlineStr">
        <is>
          <t>Flamingo's founder voice</t>
        </is>
      </c>
      <c r="Z107" s="7" t="inlineStr">
        <is>
          <t>Hi Michael,
Congrats on the $4.5M seed.
IT leaders trust founders who understand their problems. I couldn't find posts from you yet, and that's an easy place to start.
We build founder brands on LinkedIn.
Want the 3-point teardown instead?
Prabal
Gliped | LinkedIn personal branding for founders
Not relevant? Reply "no" and I won't follow up.</t>
        </is>
      </c>
      <c r="AA107" s="7" t="inlineStr">
        <is>
          <t>Not found</t>
        </is>
      </c>
      <c r="AB107" s="7" t="inlineStr"/>
    </row>
    <row r="108" ht="96" customHeight="1">
      <c r="A108" s="7" t="inlineStr">
        <is>
          <t>G107</t>
        </is>
      </c>
      <c r="B108" s="7" t="inlineStr">
        <is>
          <t>03</t>
        </is>
      </c>
      <c r="C108" s="7" t="inlineStr">
        <is>
          <t>2026-10-02</t>
        </is>
      </c>
      <c r="D108" s="7" t="inlineStr">
        <is>
          <t>Nikhil Aggarwal</t>
        </is>
      </c>
      <c r="E108" s="7" t="inlineStr">
        <is>
          <t>Co-founder &amp; CEO</t>
        </is>
      </c>
      <c r="F108" s="7" t="inlineStr">
        <is>
          <t>Corridor</t>
        </is>
      </c>
      <c r="G108" s="7" t="inlineStr">
        <is>
          <t>US</t>
        </is>
      </c>
      <c r="H108" s="7" t="inlineStr">
        <is>
          <t>US</t>
        </is>
      </c>
      <c r="I108" s="8" t="inlineStr">
        <is>
          <t>https://www.linkedin.com/search/results/people/?keywords=Nikhil%20Aggarwal%20Corridor</t>
        </is>
      </c>
      <c r="J108" s="9" t="inlineStr">
        <is>
          <t>No</t>
        </is>
      </c>
      <c r="K108" s="7" t="inlineStr">
        <is>
          <t>$25M seed led by Bain Capital Ventures (AI health benefits brokerage for SMBs)</t>
        </is>
      </c>
      <c r="L108" s="7" t="inlineStr">
        <is>
          <t>2026-09</t>
        </is>
      </c>
      <c r="M108" s="10" t="inlineStr">
        <is>
          <t>https://techcrunch.com/2026/09/21/corridor-raises-25m-seed-to-build-a-health-benefits-brokerage-for-smbs/</t>
        </is>
      </c>
      <c r="N108" s="7" t="inlineStr">
        <is>
          <t>Not indexed</t>
        </is>
      </c>
      <c r="O108" s="7" t="inlineStr"/>
      <c r="P108" s="7" t="inlineStr">
        <is>
          <t>Common name; no own posts matched to Corridor.</t>
        </is>
      </c>
      <c r="Q108" s="7" t="n">
        <v>50</v>
      </c>
      <c r="R108" s="7">
        <f>IF(Q108&gt;=60,"Priority",IF(Q108&gt;=40,"Warm","Nurture"))</f>
        <v/>
      </c>
      <c r="S108" s="7" t="inlineStr">
        <is>
          <t>SMB owners pick a benefits broker they trust. A founder voice on health benefits builds that trust.</t>
        </is>
      </c>
      <c r="T108" s="7" t="inlineStr">
        <is>
          <t>Hi Nikhil, congrats on the seed with Bain Capital Ventures.
An AI benefits broker for SMBs is a smart idea.
Would be good to connect.</t>
        </is>
      </c>
      <c r="U108" s="7" t="inlineStr">
        <is>
          <t>Thanks for connecting, Nikhil.
SMB owners will check who's behind Corridor.
Is LinkedIn part of how you want to reach them?</t>
        </is>
      </c>
      <c r="V108" s="7" t="inlineStr">
        <is>
          <t>Confirm profile; SMB owner content; benefits explained.</t>
        </is>
      </c>
      <c r="W108" s="7" t="inlineStr">
        <is>
          <t>VERIFY PROFILE. Common name. No email found.</t>
        </is>
      </c>
      <c r="X108" s="9" t="inlineStr"/>
      <c r="Y108" s="7" t="inlineStr">
        <is>
          <t>Corridor and SMB owners</t>
        </is>
      </c>
      <c r="Z108" s="7" t="inlineStr">
        <is>
          <t>Hi Nikhil,
Congrats on the $25M seed.
SMB owners pick a benefits broker they trust. A founder voice on health benefits builds that trust before the sales call.
We build founder brands on LinkedIn, from positioning to weekly posts.
Worth a 15-minute call?
Prabal
Gliped | LinkedIn personal branding for founders
Not relevant? Reply "no" and I won't follow up.</t>
        </is>
      </c>
      <c r="AA108" s="7" t="inlineStr">
        <is>
          <t>Not found</t>
        </is>
      </c>
      <c r="AB108" s="7" t="inlineStr"/>
    </row>
    <row r="109" ht="96" customHeight="1">
      <c r="A109" s="7" t="inlineStr">
        <is>
          <t>G108</t>
        </is>
      </c>
      <c r="B109" s="7" t="inlineStr">
        <is>
          <t>03</t>
        </is>
      </c>
      <c r="C109" s="7" t="inlineStr">
        <is>
          <t>2026-10-02</t>
        </is>
      </c>
      <c r="D109" s="7" t="inlineStr">
        <is>
          <t>Zach Zelner</t>
        </is>
      </c>
      <c r="E109" s="7" t="inlineStr">
        <is>
          <t>Founder &amp; CEO</t>
        </is>
      </c>
      <c r="F109" s="7" t="inlineStr">
        <is>
          <t>OuterSignal</t>
        </is>
      </c>
      <c r="G109" s="7" t="inlineStr">
        <is>
          <t>US</t>
        </is>
      </c>
      <c r="H109" s="7" t="inlineStr">
        <is>
          <t>New York</t>
        </is>
      </c>
      <c r="I109" s="8" t="inlineStr">
        <is>
          <t>https://www.linkedin.com/in/zachzelner</t>
        </is>
      </c>
      <c r="J109" s="9" t="inlineStr">
        <is>
          <t>Yes</t>
        </is>
      </c>
      <c r="K109" s="7" t="inlineStr">
        <is>
          <t>$22M Series A (agentic customer intelligence)</t>
        </is>
      </c>
      <c r="L109" s="7" t="inlineStr">
        <is>
          <t>2026-09</t>
        </is>
      </c>
      <c r="M109" s="10" t="inlineStr">
        <is>
          <t>https://www.finsmes.com/2026/09/outersignal-raises-22m-in-series-a-funding.html</t>
        </is>
      </c>
      <c r="N109" s="7" t="inlineStr">
        <is>
          <t>Not indexed</t>
        </is>
      </c>
      <c r="O109" s="7" t="inlineStr"/>
      <c r="P109" s="7" t="inlineStr">
        <is>
          <t>Profile confirmed, no own posts indexed. Serial founder (ThreadStudio, PupSocks, Penny Delivers).</t>
        </is>
      </c>
      <c r="Q109" s="7" t="n">
        <v>50</v>
      </c>
      <c r="R109" s="7">
        <f>IF(Q109&gt;=60,"Priority",IF(Q109&gt;=40,"Warm","Nurture"))</f>
        <v/>
      </c>
      <c r="S109" s="7" t="inlineStr">
        <is>
          <t>DTC brands buy from founders who've run DTC brands. That history is the pitch.</t>
        </is>
      </c>
      <c r="T109" s="7" t="inlineStr">
        <is>
          <t>Hi Zach, congrats on the Series A.
Spotting VIP customers on every order is a clever wedge.
Would be good to connect.</t>
        </is>
      </c>
      <c r="U109" s="7" t="inlineStr">
        <is>
          <t>Thanks for connecting, Zach.
You've run DTC brands yourself, and that's what your buyers want to hear.
Is LinkedIn part of how you tell it?</t>
        </is>
      </c>
      <c r="V109" s="7" t="inlineStr">
        <is>
          <t>No posts; DTC founder lessons; brand customer stories.</t>
        </is>
      </c>
      <c r="W109" s="7" t="inlineStr">
        <is>
          <t>Atlanta based.</t>
        </is>
      </c>
      <c r="X109" s="9" t="inlineStr">
        <is>
          <t>zach@outersignal.com</t>
        </is>
      </c>
      <c r="Y109" s="7" t="inlineStr">
        <is>
          <t>OuterSignal's Series A</t>
        </is>
      </c>
      <c r="Z109" s="7" t="inlineStr">
        <is>
          <t>Hi Zach,
Congrats on the $22M Series A.
You've run DTC brands yourself, and that's what OuterSignal's buyers want to hear. I couldn't find posts from you yet.
We build founder brands on LinkedIn, from positioning to weekly posts.
Worth a 15-minute call next week?
Prabal
Gliped | LinkedIn personal branding for founders
Not relevant? Reply "no" and I won't follow up.</t>
        </is>
      </c>
      <c r="AA109" s="7" t="inlineStr">
        <is>
          <t>Verified</t>
        </is>
      </c>
      <c r="AB109" s="7" t="inlineStr">
        <is>
          <t>Prospeo SMTP Founder &amp; CEO; Atlanta; serial founder (ThreadStudio, PupSocks, Penny Delivers)</t>
        </is>
      </c>
    </row>
    <row r="110" ht="96" customHeight="1">
      <c r="A110" s="7" t="inlineStr">
        <is>
          <t>G109</t>
        </is>
      </c>
      <c r="B110" s="7" t="inlineStr">
        <is>
          <t>03</t>
        </is>
      </c>
      <c r="C110" s="7" t="inlineStr">
        <is>
          <t>2026-10-02</t>
        </is>
      </c>
      <c r="D110" s="7" t="inlineStr">
        <is>
          <t>Michael Rossiter</t>
        </is>
      </c>
      <c r="E110" s="7" t="inlineStr">
        <is>
          <t>Co-founder &amp; CEO</t>
        </is>
      </c>
      <c r="F110" s="7" t="inlineStr">
        <is>
          <t>Atomic</t>
        </is>
      </c>
      <c r="G110" s="7" t="inlineStr">
        <is>
          <t>US</t>
        </is>
      </c>
      <c r="H110" s="7" t="inlineStr">
        <is>
          <t>Boston</t>
        </is>
      </c>
      <c r="I110" s="8" t="inlineStr">
        <is>
          <t>https://www.linkedin.com/search/results/people/?keywords=Michael%20Rossiter%20Atomic</t>
        </is>
      </c>
      <c r="J110" s="9" t="inlineStr">
        <is>
          <t>No</t>
        </is>
      </c>
      <c r="K110" s="7" t="inlineStr">
        <is>
          <t>$12.5M Series A from Klass Capital and Madrona; ex-Tesla planning leads</t>
        </is>
      </c>
      <c r="L110" s="7" t="inlineStr">
        <is>
          <t>2026-09</t>
        </is>
      </c>
      <c r="M110" s="10" t="inlineStr">
        <is>
          <t>https://www.finsmes.com/2026/09/atomic-raises-12-5m-in-series-a-funding.html</t>
        </is>
      </c>
      <c r="N110" s="7" t="inlineStr">
        <is>
          <t>Not indexed</t>
        </is>
      </c>
      <c r="O110" s="7" t="inlineStr"/>
      <c r="P110" s="7" t="inlineStr">
        <is>
          <t>No own posts or confirmed profile found. Ex-Tesla planning lead.</t>
        </is>
      </c>
      <c r="Q110" s="7" t="n">
        <v>50</v>
      </c>
      <c r="R110" s="7">
        <f>IF(Q110&gt;=60,"Priority",IF(Q110&gt;=40,"Warm","Nurture"))</f>
        <v/>
      </c>
      <c r="S110" s="7" t="inlineStr">
        <is>
          <t>Tesla planning experience is a strong hook for manufacturers. It should be visible.</t>
        </is>
      </c>
      <c r="T110" s="7" t="inlineStr">
        <is>
          <t>Hi Michael, congrats on the Series A.
Tesla-style planning for other manufacturers is a strong idea.
Would be good to connect.</t>
        </is>
      </c>
      <c r="U110" s="7" t="inlineStr">
        <is>
          <t>Thanks for connecting, Michael.
Your Tesla background is a strong hook.
Would you want it working on LinkedIn for Atomic?</t>
        </is>
      </c>
      <c r="V110" s="7" t="inlineStr">
        <is>
          <t>Confirm profile; Tesla lessons; supply chain content.</t>
        </is>
      </c>
      <c r="W110" s="7" t="inlineStr">
        <is>
          <t>VERIFY PROFILE. Common name. No email found.</t>
        </is>
      </c>
      <c r="X110" s="9" t="inlineStr"/>
      <c r="Y110" s="7" t="inlineStr">
        <is>
          <t>Atomic's Series A</t>
        </is>
      </c>
      <c r="Z110" s="7" t="inlineStr">
        <is>
          <t>Hi Michael,
Congrats on the $12.5M Series A.
Tesla planning experience is a strong hook for the manufacturers you sell to. It isn't working for Atomic on LinkedIn yet, and buyers check the founder first.
We build founder brands, from positioning to weekly posts.
Worth a 15-minute call?
Prabal
Gliped | LinkedIn personal branding for founders
Not relevant? Reply "no" and I won't follow up.</t>
        </is>
      </c>
      <c r="AA110" s="7" t="inlineStr">
        <is>
          <t>Not found</t>
        </is>
      </c>
      <c r="AB110" s="7" t="inlineStr"/>
    </row>
    <row r="111" ht="96" customHeight="1">
      <c r="A111" s="7" t="inlineStr">
        <is>
          <t>G110</t>
        </is>
      </c>
      <c r="B111" s="7" t="inlineStr">
        <is>
          <t>03</t>
        </is>
      </c>
      <c r="C111" s="7" t="inlineStr">
        <is>
          <t>2026-10-02</t>
        </is>
      </c>
      <c r="D111" s="7" t="inlineStr">
        <is>
          <t>Justin Inman</t>
        </is>
      </c>
      <c r="E111" s="7" t="inlineStr">
        <is>
          <t>Founder &amp; CEO</t>
        </is>
      </c>
      <c r="F111" s="7" t="inlineStr">
        <is>
          <t>Emberos</t>
        </is>
      </c>
      <c r="G111" s="7" t="inlineStr">
        <is>
          <t>US</t>
        </is>
      </c>
      <c r="H111" s="7" t="inlineStr">
        <is>
          <t>Los Angeles</t>
        </is>
      </c>
      <c r="I111" s="8" t="inlineStr">
        <is>
          <t>https://www.linkedin.com/in/jinman11</t>
        </is>
      </c>
      <c r="J111" s="9" t="inlineStr">
        <is>
          <t>Yes</t>
        </is>
      </c>
      <c r="K111" s="7" t="inlineStr">
        <is>
          <t>$5.5M seed (AI brand management OS)</t>
        </is>
      </c>
      <c r="L111" s="7" t="inlineStr">
        <is>
          <t>2026-09</t>
        </is>
      </c>
      <c r="M111" s="10" t="inlineStr">
        <is>
          <t>https://www.finsmes.com/2026/09/emberos-raises-5-5m-in-seed-funding.html</t>
        </is>
      </c>
      <c r="N111" s="7" t="inlineStr">
        <is>
          <t>Not indexed</t>
        </is>
      </c>
      <c r="O111" s="7" t="inlineStr"/>
      <c r="P111" s="7" t="inlineStr">
        <is>
          <t>Profile confirmed, no own posts indexed. Nine years at Google, then Cardlytics and The Mill.</t>
        </is>
      </c>
      <c r="Q111" s="7" t="n">
        <v>50</v>
      </c>
      <c r="R111" s="7">
        <f>IF(Q111&gt;=60,"Priority",IF(Q111&gt;=40,"Warm","Nurture"))</f>
        <v/>
      </c>
      <c r="S111" s="7" t="inlineStr">
        <is>
          <t>Emberos sells brand visibility in AI. The founder's own visibility on LinkedIn is part of the proof.</t>
        </is>
      </c>
      <c r="T111" s="7" t="inlineStr">
        <is>
          <t>Hi Justin, congrats on the seed.
Controlling how brands show up in AI answers is timely.
Would be good to connect.</t>
        </is>
      </c>
      <c r="U111" s="7" t="inlineStr">
        <is>
          <t>Thanks for connecting, Justin.
You help brands get seen in AI. Your own LinkedIn is quiet.
Would you want it to match what Emberos sells?</t>
        </is>
      </c>
      <c r="V111" s="7" t="inlineStr">
        <is>
          <t>No posts; Google years; AI visibility content.</t>
        </is>
      </c>
      <c r="W111" s="7" t="inlineStr">
        <is>
          <t>Marketer. Pitch time and consistency, not writing.</t>
        </is>
      </c>
      <c r="X111" s="9" t="inlineStr">
        <is>
          <t>justin@emberos.ai</t>
        </is>
      </c>
      <c r="Y111" s="7" t="inlineStr">
        <is>
          <t>Your own visibility</t>
        </is>
      </c>
      <c r="Z111" s="7" t="inlineStr">
        <is>
          <t>Hi Justin,
Congrats on the $5.5M seed.
You help brands get seen in AI. Your own LinkedIn is quiet, and buyers will check it.
We handle the consistency for founders who know marketing but don't have the hours.
Worth a 15-minute call?
Prabal
Gliped | LinkedIn personal branding for founders
Not relevant? Reply "no" and I won't follow up.</t>
        </is>
      </c>
      <c r="AA111" s="7" t="inlineStr">
        <is>
          <t>Verified</t>
        </is>
      </c>
      <c r="AB111" s="7" t="inlineStr">
        <is>
          <t>Prospeo SMTP Founder &amp; CEO; LA; ex-Google (9 yrs), Cardlytics, The Mill</t>
        </is>
      </c>
    </row>
    <row r="112" ht="96" customHeight="1">
      <c r="A112" s="7" t="inlineStr">
        <is>
          <t>G111</t>
        </is>
      </c>
      <c r="B112" s="7" t="inlineStr">
        <is>
          <t>03</t>
        </is>
      </c>
      <c r="C112" s="7" t="inlineStr">
        <is>
          <t>2026-10-02</t>
        </is>
      </c>
      <c r="D112" s="7" t="inlineStr">
        <is>
          <t>Neil Sobin</t>
        </is>
      </c>
      <c r="E112" s="7" t="inlineStr">
        <is>
          <t>Founder &amp; CEO</t>
        </is>
      </c>
      <c r="F112" s="7" t="inlineStr">
        <is>
          <t>Quartermaster</t>
        </is>
      </c>
      <c r="G112" s="7" t="inlineStr">
        <is>
          <t>US</t>
        </is>
      </c>
      <c r="H112" s="7" t="inlineStr">
        <is>
          <t>Arlington VA</t>
        </is>
      </c>
      <c r="I112" s="8" t="inlineStr">
        <is>
          <t>https://www.linkedin.com/in/neilsobin</t>
        </is>
      </c>
      <c r="J112" s="9" t="inlineStr">
        <is>
          <t>Yes</t>
        </is>
      </c>
      <c r="K112" s="7" t="inlineStr">
        <is>
          <t>$140M Series B led by Insight Partners (maritime intelligence)</t>
        </is>
      </c>
      <c r="L112" s="7" t="inlineStr">
        <is>
          <t>2026-09</t>
        </is>
      </c>
      <c r="M112" s="10" t="inlineStr">
        <is>
          <t>https://techcrunch.com/2026/09/28/maritime-intelligence-startup-quartermaster-raises-another-140m/</t>
        </is>
      </c>
      <c r="N112" s="7" t="inlineStr">
        <is>
          <t>Went quiet</t>
        </is>
      </c>
      <c r="O112" s="7" t="inlineStr">
        <is>
          <t>2022-02</t>
        </is>
      </c>
      <c r="P112" s="7" t="inlineStr">
        <is>
          <t>One own post indexed, from Feb 2022 at Scale AI (national security datasets).</t>
        </is>
      </c>
      <c r="Q112" s="7" t="n">
        <v>50</v>
      </c>
      <c r="R112" s="7">
        <f>IF(Q112&gt;=60,"Priority",IF(Q112&gt;=40,"Warm","Nurture"))</f>
        <v/>
      </c>
      <c r="S112" s="7" t="inlineStr">
        <is>
          <t>Maritime intelligence after a $140M round is a defence story. A founder voice helps with government buyers and hires.</t>
        </is>
      </c>
      <c r="T112" s="7" t="inlineStr">
        <is>
          <t>Hi Neil, congrats on the Series B.
Maritime intelligence is getting the attention it deserves.
Would be good to connect.</t>
        </is>
      </c>
      <c r="U112" s="7" t="inlineStr">
        <is>
          <t>Thanks for connecting, Neil.
The last post I found from you is from 2022, at Scale AI.
With the round out, would you want a steadier voice?</t>
        </is>
      </c>
      <c r="V112" s="7" t="inlineStr">
        <is>
          <t>Quiet since 2022; defence buyer content; hiring.</t>
        </is>
      </c>
      <c r="W112" s="7" t="inlineStr">
        <is>
          <t>Defence buyers. Keep it formal.</t>
        </is>
      </c>
      <c r="X112" s="9" t="inlineStr"/>
      <c r="Y112" s="7" t="inlineStr">
        <is>
          <t>Quartermaster's Series B</t>
        </is>
      </c>
      <c r="Z112" s="7" t="inlineStr">
        <is>
          <t>Hi Neil,
Congrats on the $140M Series B.
The last post I found from you is from 2022, at Scale AI. Government buyers and the hires you need will look you up now.
We build founder brands on LinkedIn, steadily and credibly.
Worth a 15-minute call?
Prabal
Gliped | LinkedIn personal branding for founders
Not relevant? Reply "no" and I won't follow up.</t>
        </is>
      </c>
      <c r="AA112" s="7" t="inlineStr">
        <is>
          <t>Pending</t>
        </is>
      </c>
      <c r="AB112" s="7" t="inlineStr">
        <is>
          <t>Prospeo rate limit hit on 2 Oct; retry lookup</t>
        </is>
      </c>
    </row>
    <row r="113" ht="96" customHeight="1">
      <c r="A113" s="7" t="inlineStr">
        <is>
          <t>G112</t>
        </is>
      </c>
      <c r="B113" s="7" t="inlineStr">
        <is>
          <t>03</t>
        </is>
      </c>
      <c r="C113" s="7" t="inlineStr">
        <is>
          <t>2026-10-02</t>
        </is>
      </c>
      <c r="D113" s="7" t="inlineStr">
        <is>
          <t>Cheryl Sew Hoy</t>
        </is>
      </c>
      <c r="E113" s="7" t="inlineStr">
        <is>
          <t>Founder &amp; CEO</t>
        </is>
      </c>
      <c r="F113" s="7" t="inlineStr">
        <is>
          <t>Tiny Health</t>
        </is>
      </c>
      <c r="G113" s="7" t="inlineStr">
        <is>
          <t>US</t>
        </is>
      </c>
      <c r="H113" s="7" t="inlineStr">
        <is>
          <t>US</t>
        </is>
      </c>
      <c r="I113" s="8" t="inlineStr">
        <is>
          <t>https://www.linkedin.com/in/cherylyeoh</t>
        </is>
      </c>
      <c r="J113" s="9" t="inlineStr">
        <is>
          <t>Yes</t>
        </is>
      </c>
      <c r="K113" s="7" t="inlineStr">
        <is>
          <t>$33M Series B led by B Capital (microbiome testing)</t>
        </is>
      </c>
      <c r="L113" s="7" t="inlineStr">
        <is>
          <t>2026-09</t>
        </is>
      </c>
      <c r="M113" s="10" t="inlineStr">
        <is>
          <t>https://news.crunchbase.com/venture/tiny-health-33m-microbiome-tests-sew-hoy/</t>
        </is>
      </c>
      <c r="N113" s="7" t="inlineStr">
        <is>
          <t>Already consistent</t>
        </is>
      </c>
      <c r="O113" s="7" t="inlineStr">
        <is>
          <t>2022-12</t>
        </is>
      </c>
      <c r="P113" s="7" t="inlineStr">
        <is>
          <t>Own posts indexed from 2020 (founder discipline, CTO podcast) and Dec 2022 (gift guide). Search shows a LinkedIn Influencer label. Indexing is thin, so the real cadence may be higher.</t>
        </is>
      </c>
      <c r="Q113" s="7" t="n">
        <v>50</v>
      </c>
      <c r="R113" s="7">
        <f>IF(Q113&gt;=60,"Priority",IF(Q113&gt;=40,"Warm","Nurture"))</f>
        <v/>
      </c>
      <c r="S113" s="7" t="inlineStr">
        <is>
          <t>Already posts. Pitch time back and reach during the Series B push, not writing.</t>
        </is>
      </c>
      <c r="T113" s="7" t="inlineStr">
        <is>
          <t>Hi Cheryl, congrats on the Series B.
Microbiome testing for babies and families is important work.
Would be good to connect.</t>
        </is>
      </c>
      <c r="U113" s="7" t="inlineStr">
        <is>
          <t>Thanks for connecting, Cheryl.
You already have a voice on LinkedIn.
With the Series B, would more time and reach help?</t>
        </is>
      </c>
      <c r="V113" s="7" t="inlineStr">
        <is>
          <t>Check cadence; Series B story; parent education.</t>
        </is>
      </c>
      <c r="W113" s="7" t="inlineStr">
        <is>
          <t>Already posts: pitch time back and reach.</t>
        </is>
      </c>
      <c r="X113" s="9" t="inlineStr"/>
      <c r="Y113" s="7" t="inlineStr">
        <is>
          <t>Time back, Series B</t>
        </is>
      </c>
      <c r="Z113" s="7" t="inlineStr">
        <is>
          <t>Hi Cheryl,
Congrats on the $33M Series B.
You already have a voice on LinkedIn. With a Series B to run, keeping it steady is the hard part.
We handle cadence, editing and distribution for founders who already post.
Worth a 15-minute call?
Prabal
Gliped | LinkedIn personal branding for founders
Not relevant? Reply "no" and I won't follow up.</t>
        </is>
      </c>
      <c r="AA113" s="7" t="inlineStr">
        <is>
          <t>Pending</t>
        </is>
      </c>
      <c r="AB113" s="7" t="inlineStr">
        <is>
          <t>Prospeo rate limit hit on 2 Oct; retry lookup</t>
        </is>
      </c>
    </row>
    <row r="114" ht="96" customHeight="1">
      <c r="A114" s="7" t="inlineStr">
        <is>
          <t>G113</t>
        </is>
      </c>
      <c r="B114" s="7" t="inlineStr">
        <is>
          <t>03</t>
        </is>
      </c>
      <c r="C114" s="7" t="inlineStr">
        <is>
          <t>2026-10-02</t>
        </is>
      </c>
      <c r="D114" s="7" t="inlineStr">
        <is>
          <t>Randy Fernando</t>
        </is>
      </c>
      <c r="E114" s="7" t="inlineStr">
        <is>
          <t>Founder &amp; CEO</t>
        </is>
      </c>
      <c r="F114" s="7" t="inlineStr">
        <is>
          <t>Maximum</t>
        </is>
      </c>
      <c r="G114" s="7" t="inlineStr">
        <is>
          <t>US</t>
        </is>
      </c>
      <c r="H114" s="7" t="inlineStr">
        <is>
          <t>US</t>
        </is>
      </c>
      <c r="I114" s="8" t="inlineStr">
        <is>
          <t>https://www.linkedin.com/search/results/people/?keywords=Randy%20Fernando%20Maximum</t>
        </is>
      </c>
      <c r="J114" s="9" t="inlineStr">
        <is>
          <t>No</t>
        </is>
      </c>
      <c r="K114" s="7" t="inlineStr">
        <is>
          <t>$30M seed led by CRV (AI-native core banking); third-time founder</t>
        </is>
      </c>
      <c r="L114" s="7" t="inlineStr">
        <is>
          <t>2026-08</t>
        </is>
      </c>
      <c r="M114" s="10" t="inlineStr">
        <is>
          <t>https://www.finsmes.com/2026/08/maximum-raises-30m-in-seed-funding.html</t>
        </is>
      </c>
      <c r="N114" s="7" t="inlineStr">
        <is>
          <t>Not indexed</t>
        </is>
      </c>
      <c r="O114" s="7" t="inlineStr"/>
      <c r="P114" s="7" t="inlineStr">
        <is>
          <t>No own posts indexed. Third-time founder; earlier roles at Azlo, Acorns and JPMorgan Chase per search.</t>
        </is>
      </c>
      <c r="Q114" s="7" t="n">
        <v>50</v>
      </c>
      <c r="R114" s="7">
        <f>IF(Q114&gt;=60,"Priority",IF(Q114&gt;=40,"Warm","Nurture"))</f>
        <v/>
      </c>
      <c r="S114" s="7" t="inlineStr">
        <is>
          <t>A third-time fintech founder has lessons banks want to hear. That's the story to tell.</t>
        </is>
      </c>
      <c r="T114" s="7" t="inlineStr">
        <is>
          <t>Hi Randy, congrats on the $30M seed.
AI-native core banking is a big rebuild.
Would be good to connect.</t>
        </is>
      </c>
      <c r="U114" s="7" t="inlineStr">
        <is>
          <t>Thanks for connecting, Randy.
Third-time founders have lessons people want to read.
Is LinkedIn part of how you want to reach banks?</t>
        </is>
      </c>
      <c r="V114" s="7" t="inlineStr">
        <is>
          <t>Confirm profile; founder lessons; bank buyer content.</t>
        </is>
      </c>
      <c r="W114" s="7" t="inlineStr">
        <is>
          <t>VERIFY PROFILE. Email lookup pending.</t>
        </is>
      </c>
      <c r="X114" s="9" t="inlineStr"/>
      <c r="Y114" s="7" t="inlineStr">
        <is>
          <t>Third time, your story</t>
        </is>
      </c>
      <c r="Z114" s="7" t="inlineStr">
        <is>
          <t>Hi Randy,
Congrats on the $30M seed.
Third-time founders have lessons bank leaders want to read, especially on rebuilding core banking. I couldn't find them on your LinkedIn yet.
We build founder brands on LinkedIn, from positioning to weekly posts.
Worth a 15-minute call?
Prabal
Gliped | LinkedIn personal branding for founders
Not relevant? Reply "no" and I won't follow up.</t>
        </is>
      </c>
      <c r="AA114" s="7" t="inlineStr">
        <is>
          <t>Pending</t>
        </is>
      </c>
      <c r="AB114" s="7" t="inlineStr">
        <is>
          <t>Prospeo rate limit hit on 2 Oct; retry lookup</t>
        </is>
      </c>
    </row>
    <row r="115" ht="96" customHeight="1">
      <c r="A115" s="7" t="inlineStr">
        <is>
          <t>G114</t>
        </is>
      </c>
      <c r="B115" s="7" t="inlineStr">
        <is>
          <t>03</t>
        </is>
      </c>
      <c r="C115" s="7" t="inlineStr">
        <is>
          <t>2026-10-02</t>
        </is>
      </c>
      <c r="D115" s="7" t="inlineStr">
        <is>
          <t>Ross Finman</t>
        </is>
      </c>
      <c r="E115" s="7" t="inlineStr">
        <is>
          <t>Founder &amp; CEO</t>
        </is>
      </c>
      <c r="F115" s="7" t="inlineStr">
        <is>
          <t>Augmodo</t>
        </is>
      </c>
      <c r="G115" s="7" t="inlineStr">
        <is>
          <t>US</t>
        </is>
      </c>
      <c r="H115" s="7" t="inlineStr">
        <is>
          <t>Seattle</t>
        </is>
      </c>
      <c r="I115" s="8" t="inlineStr">
        <is>
          <t>https://www.linkedin.com/in/ross-finman-a0618512</t>
        </is>
      </c>
      <c r="J115" s="9" t="inlineStr">
        <is>
          <t>Yes</t>
        </is>
      </c>
      <c r="K115" s="7" t="inlineStr">
        <is>
          <t>$21M at $350M valuation (spatial AI for frontline workers)</t>
        </is>
      </c>
      <c r="L115" s="7" t="inlineStr">
        <is>
          <t>2026-07</t>
        </is>
      </c>
      <c r="M115" s="10" t="inlineStr">
        <is>
          <t>https://www.geekwire.com/2026/augmodo-raises-21m-to-push-its-spatial-ai-beyond-just-retail-toward-the-broader-physical-workforce/</t>
        </is>
      </c>
      <c r="N115" s="7" t="inlineStr">
        <is>
          <t>Emerging writer</t>
        </is>
      </c>
      <c r="O115" s="7" t="inlineStr">
        <is>
          <t>2023-12</t>
        </is>
      </c>
      <c r="P115" s="7" t="inlineStr">
        <is>
          <t>Own posts indexed Oct 2022 to Dec 2023: opinion posts on AR news (Humane AI, HoloLens 3, Quest Pro, smart glasses). Nothing indexed after Dec 2023.</t>
        </is>
      </c>
      <c r="Q115" s="7" t="n">
        <v>50</v>
      </c>
      <c r="R115" s="7">
        <f>IF(Q115&gt;=60,"Priority",IF(Q115&gt;=40,"Warm","Nurture"))</f>
        <v/>
      </c>
      <c r="S115" s="7" t="inlineStr">
        <is>
          <t>Has opinions and posts them. The gap is cadence, plus turning AR takes into frontline AI content.</t>
        </is>
      </c>
      <c r="T115" s="7" t="inlineStr">
        <is>
          <t>Hi Ross, congrats on the round.
Spatial AI for frontline workers is a good expansion.
Would be good to connect.</t>
        </is>
      </c>
      <c r="U115" s="7" t="inlineStr">
        <is>
          <t>Thanks for connecting, Ross.
You had sharp takes on AR hardware, and the last one I found is from Dec 2023.
Would you want help keeping them coming?</t>
        </is>
      </c>
      <c r="V115" s="7" t="inlineStr">
        <is>
          <t>Opinion posts with no cadence; frontline AI content; hiring.</t>
        </is>
      </c>
      <c r="W115" s="7" t="inlineStr">
        <is>
          <t>Writes their own posts. Pitch cadence and distribution. Trigger is Jul 2026. Email lookup pending.</t>
        </is>
      </c>
      <c r="X115" s="9" t="inlineStr"/>
      <c r="Y115" s="7" t="inlineStr">
        <is>
          <t>Your takes, steady</t>
        </is>
      </c>
      <c r="Z115" s="7" t="inlineStr">
        <is>
          <t>Hi Ross,
Congrats on the $21M round.
You had sharp takes on AR hardware, and the last one I found is from Dec 2023. Frontline AI needs that same voice.
We handle cadence and distribution for founders who already write.
Worth a 15-minute call?
Prabal
Gliped | LinkedIn personal branding for founders
Not relevant? Reply "no" and I won't follow up.</t>
        </is>
      </c>
      <c r="AA115" s="7" t="inlineStr">
        <is>
          <t>Pending</t>
        </is>
      </c>
      <c r="AB115" s="7" t="inlineStr">
        <is>
          <t>Prospeo rate limit hit on 2 Oct; retry lookup</t>
        </is>
      </c>
    </row>
    <row r="116" ht="96" customHeight="1">
      <c r="A116" s="7" t="inlineStr">
        <is>
          <t>G115</t>
        </is>
      </c>
      <c r="B116" s="7" t="inlineStr">
        <is>
          <t>03</t>
        </is>
      </c>
      <c r="C116" s="7" t="inlineStr">
        <is>
          <t>2026-10-02</t>
        </is>
      </c>
      <c r="D116" s="7" t="inlineStr">
        <is>
          <t>Joseph Perla</t>
        </is>
      </c>
      <c r="E116" s="7" t="inlineStr">
        <is>
          <t>Founder &amp; CEO</t>
        </is>
      </c>
      <c r="F116" s="7" t="inlineStr">
        <is>
          <t>TrustedRouter</t>
        </is>
      </c>
      <c r="G116" s="7" t="inlineStr">
        <is>
          <t>US</t>
        </is>
      </c>
      <c r="H116" s="7" t="inlineStr">
        <is>
          <t>Miami</t>
        </is>
      </c>
      <c r="I116" s="8" t="inlineStr">
        <is>
          <t>https://www.linkedin.com/search/results/people/?keywords=Joseph%20Perla%20TrustedRouter</t>
        </is>
      </c>
      <c r="J116" s="9" t="inlineStr">
        <is>
          <t>No</t>
        </is>
      </c>
      <c r="K116" s="7" t="inlineStr">
        <is>
          <t>$1.25M seed (private AI gateway); four-time exited founder</t>
        </is>
      </c>
      <c r="L116" s="7" t="inlineStr">
        <is>
          <t>2026-09</t>
        </is>
      </c>
      <c r="M116" s="10" t="inlineStr">
        <is>
          <t>https://refreshmiami.com/news/trustedrouter-lands-1-25m-to-build-a-private-gateway-to-ai/</t>
        </is>
      </c>
      <c r="N116" s="7" t="inlineStr">
        <is>
          <t>Emerging writer</t>
        </is>
      </c>
      <c r="O116" s="7" t="inlineStr">
        <is>
          <t>2024-03</t>
        </is>
      </c>
      <c r="P116" s="7" t="inlineStr">
        <is>
          <t>A profile at /in/josephperla posted in Jan and Mar 2024 as CEO of Hangout FM. Confirm it now lists TrustedRouter before using it.</t>
        </is>
      </c>
      <c r="Q116" s="7" t="n">
        <v>40</v>
      </c>
      <c r="R116" s="7">
        <f>IF(Q116&gt;=60,"Priority",IF(Q116&gt;=40,"Warm","Nurture"))</f>
        <v/>
      </c>
      <c r="S116" s="7" t="inlineStr">
        <is>
          <t>A four-time exited founder building private AI access has a story developers and security teams want.</t>
        </is>
      </c>
      <c r="T116" s="7" t="inlineStr">
        <is>
          <t>Hi Joseph, congrats on the seed.
A private gateway to AI is a smart idea.
Would be good to connect.</t>
        </is>
      </c>
      <c r="U116" s="7" t="inlineStr">
        <is>
          <t>Thanks for connecting, Joseph.
You've built and sold companies before.
Would you want those lessons on LinkedIn, working for TrustedRouter?</t>
        </is>
      </c>
      <c r="V116" s="7" t="inlineStr">
        <is>
          <t>Confirm profile; exits story; private AI content.</t>
        </is>
      </c>
      <c r="W116" s="7" t="inlineStr">
        <is>
          <t>VERIFY PROFILE. Likely /in/josephperla. Email lookup pending.</t>
        </is>
      </c>
      <c r="X116" s="9" t="inlineStr"/>
      <c r="Y116" s="7" t="inlineStr">
        <is>
          <t>TrustedRouter's founder</t>
        </is>
      </c>
      <c r="Z116" s="7" t="inlineStr">
        <is>
          <t>Hi Joseph,
Congrats on the seed.
You've built and sold companies before. Those lessons, shared on LinkedIn, would bring developers and security teams to TrustedRouter, and give them a reason to trust a private AI gateway.
We build founder brands, from positioning to weekly posts.
Want the 3-point teardown instead?
Prabal
Gliped | LinkedIn personal branding for founders
Not relevant? Reply "no" and I won't follow up.</t>
        </is>
      </c>
      <c r="AA116" s="7" t="inlineStr">
        <is>
          <t>Pending</t>
        </is>
      </c>
      <c r="AB116" s="7" t="inlineStr">
        <is>
          <t>Prospeo rate limit hit on 2 Oct; retry lookup</t>
        </is>
      </c>
    </row>
    <row r="117" ht="96" customHeight="1">
      <c r="A117" s="7" t="inlineStr">
        <is>
          <t>G116</t>
        </is>
      </c>
      <c r="B117" s="7" t="inlineStr">
        <is>
          <t>03</t>
        </is>
      </c>
      <c r="C117" s="7" t="inlineStr">
        <is>
          <t>2026-10-02</t>
        </is>
      </c>
      <c r="D117" s="7" t="inlineStr">
        <is>
          <t>Chris Faught</t>
        </is>
      </c>
      <c r="E117" s="7" t="inlineStr">
        <is>
          <t>Founder &amp; CEO</t>
        </is>
      </c>
      <c r="F117" s="7" t="inlineStr">
        <is>
          <t>Neon Commerce</t>
        </is>
      </c>
      <c r="G117" s="7" t="inlineStr">
        <is>
          <t>US</t>
        </is>
      </c>
      <c r="H117" s="7" t="inlineStr">
        <is>
          <t>US</t>
        </is>
      </c>
      <c r="I117" s="8" t="inlineStr">
        <is>
          <t>https://www.linkedin.com/in/cpfaught</t>
        </is>
      </c>
      <c r="J117" s="9" t="inlineStr">
        <is>
          <t>Yes</t>
        </is>
      </c>
      <c r="K117" s="7" t="inlineStr">
        <is>
          <t>$13M Series A from a16z and Krafton (DTC commerce for games)</t>
        </is>
      </c>
      <c r="L117" s="7" t="inlineStr">
        <is>
          <t>2026-07</t>
        </is>
      </c>
      <c r="M117" s="10" t="inlineStr">
        <is>
          <t>https://gamesbeat.com/neon-raises-13m-series-a-to-expand-direct-to-consumer-commerce-for-games-exclusive/</t>
        </is>
      </c>
      <c r="N117" s="7" t="inlineStr">
        <is>
          <t>Milestone-only</t>
        </is>
      </c>
      <c r="O117" s="7" t="inlineStr">
        <is>
          <t>2023-05</t>
        </is>
      </c>
      <c r="P117" s="7" t="inlineStr">
        <is>
          <t>One own post indexed: Neon joining a16z's first SPEEDRUN class (May 2023).</t>
        </is>
      </c>
      <c r="Q117" s="7" t="n">
        <v>50</v>
      </c>
      <c r="R117" s="7">
        <f>IF(Q117&gt;=60,"Priority",IF(Q117&gt;=40,"Warm","Nurture"))</f>
        <v/>
      </c>
      <c r="S117" s="7" t="inlineStr">
        <is>
          <t>Game studios are rethinking payments after Apple's changes. A founder with a view becomes the go-to voice.</t>
        </is>
      </c>
      <c r="T117" s="7" t="inlineStr">
        <is>
          <t>Hi Chris, congrats on the Series A.
Direct-to-consumer commerce for games is well timed.
Would be good to connect.</t>
        </is>
      </c>
      <c r="U117" s="7" t="inlineStr">
        <is>
          <t>Thanks for connecting, Chris.
The last post I found from you is the SPEEDRUN news in 2023.
Would you want a steadier voice as studios rethink payments?</t>
        </is>
      </c>
      <c r="V117" s="7" t="inlineStr">
        <is>
          <t>Milestone-only; payments commentary; studio case studies.</t>
        </is>
      </c>
      <c r="W117" s="7" t="inlineStr">
        <is>
          <t>Trigger is Jul 2026. Email lookup pending.</t>
        </is>
      </c>
      <c r="X117" s="9" t="inlineStr"/>
      <c r="Y117" s="7" t="inlineStr">
        <is>
          <t>Neon's Series A</t>
        </is>
      </c>
      <c r="Z117" s="7" t="inlineStr">
        <is>
          <t>Hi Chris,
Congrats on the $13M Series A.
Studios are rethinking payments, and the last post I found from you is from 2023. A founder with a clear view becomes the name studios think of.
We build founder brands on LinkedIn.
Worth a 15-minute call?
Prabal
Gliped | LinkedIn personal branding for founders
Not relevant? Reply "no" and I won't follow up.</t>
        </is>
      </c>
      <c r="AA117" s="7" t="inlineStr">
        <is>
          <t>Pending</t>
        </is>
      </c>
      <c r="AB117" s="7" t="inlineStr">
        <is>
          <t>Prospeo rate limit hit on 2 Oct; retry lookup</t>
        </is>
      </c>
    </row>
    <row r="118" ht="96" customHeight="1">
      <c r="A118" s="7" t="inlineStr">
        <is>
          <t>G117</t>
        </is>
      </c>
      <c r="B118" s="7" t="inlineStr">
        <is>
          <t>03</t>
        </is>
      </c>
      <c r="C118" s="7" t="inlineStr">
        <is>
          <t>2026-10-02</t>
        </is>
      </c>
      <c r="D118" s="7" t="inlineStr">
        <is>
          <t>Wyatt McDonnell</t>
        </is>
      </c>
      <c r="E118" s="7" t="inlineStr">
        <is>
          <t>Co-founder &amp; CEO</t>
        </is>
      </c>
      <c r="F118" s="7" t="inlineStr">
        <is>
          <t>Infinimmune</t>
        </is>
      </c>
      <c r="G118" s="7" t="inlineStr">
        <is>
          <t>US</t>
        </is>
      </c>
      <c r="H118" s="7" t="inlineStr">
        <is>
          <t>Bay Area</t>
        </is>
      </c>
      <c r="I118" s="8" t="inlineStr">
        <is>
          <t>https://www.linkedin.com/in/wyattmcdonnell</t>
        </is>
      </c>
      <c r="J118" s="9" t="inlineStr">
        <is>
          <t>Yes</t>
        </is>
      </c>
      <c r="K118" s="7" t="inlineStr">
        <is>
          <t>$75M Series A led by Regeneron Ventures and Playground Global (antibodies)</t>
        </is>
      </c>
      <c r="L118" s="7" t="inlineStr">
        <is>
          <t>2026-08</t>
        </is>
      </c>
      <c r="M118" s="10" t="inlineStr">
        <is>
          <t>https://www.fiercebiotech.com/biotech/regeneron-backs-75m-series-antibody-upstart-infinimmune</t>
        </is>
      </c>
      <c r="N118" s="7" t="inlineStr">
        <is>
          <t>Milestone-only</t>
        </is>
      </c>
      <c r="O118" s="7" t="inlineStr">
        <is>
          <t>2023-02</t>
        </is>
      </c>
      <c r="P118" s="7" t="inlineStr">
        <is>
          <t>Own posts indexed Dec 2022 (the $12M seed) and Feb 2023 (single-cell antibodies). Has done long-form interviews on Substack.</t>
        </is>
      </c>
      <c r="Q118" s="7" t="n">
        <v>50</v>
      </c>
      <c r="R118" s="7">
        <f>IF(Q118&gt;=60,"Priority",IF(Q118&gt;=40,"Warm","Nurture"))</f>
        <v/>
      </c>
      <c r="S118" s="7" t="inlineStr">
        <is>
          <t>Explains the science well in interviews. That should be on LinkedIn, where pharma partners look.</t>
        </is>
      </c>
      <c r="T118" s="7" t="inlineStr">
        <is>
          <t>Hi Wyatt, congrats on the Series A.
Regeneron backing truly human antibodies is a strong signal.
Would be good to connect.</t>
        </is>
      </c>
      <c r="U118" s="7" t="inlineStr">
        <is>
          <t>Thanks for connecting, Wyatt.
Your interviews explain Infinimmune well, but LinkedIn has been quiet since 2023.
Would you want help bringing that there?</t>
        </is>
      </c>
      <c r="V118" s="7" t="inlineStr">
        <is>
          <t>Quiet since 2023; interview content reused; partner content.</t>
        </is>
      </c>
      <c r="W118" s="7" t="inlineStr">
        <is>
          <t>Email lookup pending.</t>
        </is>
      </c>
      <c r="X118" s="9" t="inlineStr"/>
      <c r="Y118" s="7" t="inlineStr">
        <is>
          <t>Infinimmune on LinkedIn</t>
        </is>
      </c>
      <c r="Z118" s="7" t="inlineStr">
        <is>
          <t>Hi Wyatt,
Congrats on the $75M Series A.
Your interviews explain Infinimmune well, but your LinkedIn has been quiet since 2023. That is where pharma partners and future hires look.
We turn founder interviews and talks into a steady LinkedIn presence.
Worth a 15-minute call?
Prabal
Gliped | LinkedIn personal branding for founders
Not relevant? Reply "no" and I won't follow up.</t>
        </is>
      </c>
      <c r="AA118" s="7" t="inlineStr">
        <is>
          <t>Pending</t>
        </is>
      </c>
      <c r="AB118" s="7" t="inlineStr">
        <is>
          <t>Prospeo rate limit hit on 2 Oct; retry lookup</t>
        </is>
      </c>
    </row>
    <row r="119" ht="96" customHeight="1">
      <c r="A119" s="7" t="inlineStr">
        <is>
          <t>G118</t>
        </is>
      </c>
      <c r="B119" s="7" t="inlineStr">
        <is>
          <t>03</t>
        </is>
      </c>
      <c r="C119" s="7" t="inlineStr">
        <is>
          <t>2026-10-02</t>
        </is>
      </c>
      <c r="D119" s="7" t="inlineStr">
        <is>
          <t>Peter Dun</t>
        </is>
      </c>
      <c r="E119" s="7" t="inlineStr">
        <is>
          <t>Co-founder &amp; CEO</t>
        </is>
      </c>
      <c r="F119" s="7" t="inlineStr">
        <is>
          <t>Feathery</t>
        </is>
      </c>
      <c r="G119" s="7" t="inlineStr">
        <is>
          <t>US</t>
        </is>
      </c>
      <c r="H119" s="7" t="inlineStr">
        <is>
          <t>San Francisco</t>
        </is>
      </c>
      <c r="I119" s="8" t="inlineStr">
        <is>
          <t>https://www.linkedin.com/in/bodun</t>
        </is>
      </c>
      <c r="J119" s="9" t="inlineStr">
        <is>
          <t>Yes</t>
        </is>
      </c>
      <c r="K119" s="7" t="inlineStr">
        <is>
          <t>Series A, $30M total (AI decisioning for financial services)</t>
        </is>
      </c>
      <c r="L119" s="7" t="inlineStr">
        <is>
          <t>2026-07</t>
        </is>
      </c>
      <c r="M119" s="10" t="inlineStr">
        <is>
          <t>https://www.finsmes.com/2026/07/feathery-closes-series-a-funding-30m-in-total.html</t>
        </is>
      </c>
      <c r="N119" s="7" t="inlineStr">
        <is>
          <t>Company-news voice</t>
        </is>
      </c>
      <c r="O119" s="7" t="inlineStr">
        <is>
          <t>2024-01</t>
        </is>
      </c>
      <c r="P119" s="7" t="inlineStr">
        <is>
          <t>Own posts indexed Mar 2022 (why I started Feathery), Apr 2023 (homepage redesign) and Jan 2024 (hiring). Company news only.</t>
        </is>
      </c>
      <c r="Q119" s="7" t="n">
        <v>50</v>
      </c>
      <c r="R119" s="7">
        <f>IF(Q119&gt;=60,"Priority",IF(Q119&gt;=40,"Warm","Nurture"))</f>
        <v/>
      </c>
      <c r="S119" s="7" t="inlineStr">
        <is>
          <t>Posts company news. Financial services buyers want a personal view on AI decisioning.</t>
        </is>
      </c>
      <c r="T119" s="7" t="inlineStr">
        <is>
          <t>Hi Peter, congrats on the Series A.
AI decisioning for financial services is a good evolution for Feathery.
Would be good to connect.</t>
        </is>
      </c>
      <c r="U119" s="7" t="inlineStr">
        <is>
          <t>Thanks for connecting, Peter.
Your posts are mostly Feathery news.
Would you want to add your own view on AI in financial services?</t>
        </is>
      </c>
      <c r="V119" s="7" t="inlineStr">
        <is>
          <t>Company news only; point of view posts; buyer content.</t>
        </is>
      </c>
      <c r="W119" s="7" t="inlineStr">
        <is>
          <t>Trigger is Jul 2026. Email lookup pending.</t>
        </is>
      </c>
      <c r="X119" s="9" t="inlineStr"/>
      <c r="Y119" s="7" t="inlineStr">
        <is>
          <t>Beyond Feathery news</t>
        </is>
      </c>
      <c r="Z119" s="7" t="inlineStr">
        <is>
          <t>Hi Peter,
Congrats on the Series A.
Your posts are mostly Feathery news. Financial services buyers would follow your own view on AI decisioning.
We help founders add a point of view, from positioning to weekly posts.
Worth a 15-minute call?
Prabal
Gliped | LinkedIn personal branding for founders
Not relevant? Reply "no" and I won't follow up.</t>
        </is>
      </c>
      <c r="AA119" s="7" t="inlineStr">
        <is>
          <t>Pending</t>
        </is>
      </c>
      <c r="AB119" s="7" t="inlineStr">
        <is>
          <t>Prospeo rate limit hit on 2 Oct; retry lookup</t>
        </is>
      </c>
    </row>
    <row r="120" ht="96" customHeight="1">
      <c r="A120" s="7" t="inlineStr">
        <is>
          <t>G119</t>
        </is>
      </c>
      <c r="B120" s="7" t="inlineStr">
        <is>
          <t>03</t>
        </is>
      </c>
      <c r="C120" s="7" t="inlineStr">
        <is>
          <t>2026-10-02</t>
        </is>
      </c>
      <c r="D120" s="7" t="inlineStr">
        <is>
          <t>Terry Moon</t>
        </is>
      </c>
      <c r="E120" s="7" t="inlineStr">
        <is>
          <t>CEO</t>
        </is>
      </c>
      <c r="F120" s="7" t="inlineStr">
        <is>
          <t>CarbonSix</t>
        </is>
      </c>
      <c r="G120" s="7" t="inlineStr">
        <is>
          <t>US</t>
        </is>
      </c>
      <c r="H120" s="7" t="inlineStr">
        <is>
          <t>San Francisco</t>
        </is>
      </c>
      <c r="I120" s="8" t="inlineStr">
        <is>
          <t>https://www.linkedin.com/search/results/people/?keywords=Terry%20Moon%20CarbonSix</t>
        </is>
      </c>
      <c r="J120" s="9" t="inlineStr">
        <is>
          <t>No</t>
        </is>
      </c>
      <c r="K120" s="7" t="inlineStr">
        <is>
          <t>$40M Series A (physical AI for manufacturing)</t>
        </is>
      </c>
      <c r="L120" s="7" t="inlineStr">
        <is>
          <t>2026-07</t>
        </is>
      </c>
      <c r="M120" s="10" t="inlineStr">
        <is>
          <t>https://www.finsmes.com/2026/07/carbonsix-raises-40m-in-series-a-funding.html</t>
        </is>
      </c>
      <c r="N120" s="7" t="inlineStr">
        <is>
          <t>Not indexed</t>
        </is>
      </c>
      <c r="O120" s="7" t="inlineStr"/>
      <c r="P120" s="7" t="inlineStr">
        <is>
          <t>Common name; no own posts matched to CarbonSix.</t>
        </is>
      </c>
      <c r="Q120" s="7" t="n">
        <v>50</v>
      </c>
      <c r="R120" s="7">
        <f>IF(Q120&gt;=60,"Priority",IF(Q120&gt;=40,"Warm","Nurture"))</f>
        <v/>
      </c>
      <c r="S120" s="7" t="inlineStr">
        <is>
          <t>Physical AI for manufacturing needs factory leaders to trust it. A CEO voice helps.</t>
        </is>
      </c>
      <c r="T120" s="7" t="inlineStr">
        <is>
          <t>Hi Terry, congrats on the Series A.
Physical AI for manufacturing is a big opportunity.
Would be good to connect.</t>
        </is>
      </c>
      <c r="U120" s="7" t="inlineStr">
        <is>
          <t>Thanks for connecting, Terry.
Factory leaders will look you up before a pilot.
Is LinkedIn part of how you want to reach them?</t>
        </is>
      </c>
      <c r="V120" s="7" t="inlineStr">
        <is>
          <t>Confirm profile; factory content; customer stories.</t>
        </is>
      </c>
      <c r="W120" s="7" t="inlineStr">
        <is>
          <t>VERIFY PROFILE. Common name. Trigger is Jul 2026. Email lookup pending.</t>
        </is>
      </c>
      <c r="X120" s="9" t="inlineStr"/>
      <c r="Y120" s="7" t="inlineStr">
        <is>
          <t>CarbonSix's Series A</t>
        </is>
      </c>
      <c r="Z120" s="7" t="inlineStr">
        <is>
          <t>Hi Terry,
Congrats on the $40M Series A.
Factory leaders will look you up before a pilot. A CEO voice on physical AI makes that first call easier.
We build founder brands on LinkedIn, from positioning to weekly posts.
Worth a 15-minute call?
Prabal
Gliped | LinkedIn personal branding for founders
Not relevant? Reply "no" and I won't follow up.</t>
        </is>
      </c>
      <c r="AA120" s="7" t="inlineStr">
        <is>
          <t>Pending</t>
        </is>
      </c>
      <c r="AB120" s="7" t="inlineStr">
        <is>
          <t>Prospeo rate limit hit on 2 Oct; retry lookup</t>
        </is>
      </c>
    </row>
    <row r="121" ht="96" customHeight="1">
      <c r="A121" s="7" t="inlineStr">
        <is>
          <t>G120</t>
        </is>
      </c>
      <c r="B121" s="7" t="inlineStr">
        <is>
          <t>03</t>
        </is>
      </c>
      <c r="C121" s="7" t="inlineStr">
        <is>
          <t>2026-10-02</t>
        </is>
      </c>
      <c r="D121" s="7" t="inlineStr">
        <is>
          <t>Stephen Haney</t>
        </is>
      </c>
      <c r="E121" s="7" t="inlineStr">
        <is>
          <t>Founder &amp; CEO</t>
        </is>
      </c>
      <c r="F121" s="7" t="inlineStr">
        <is>
          <t>Paper</t>
        </is>
      </c>
      <c r="G121" s="7" t="inlineStr">
        <is>
          <t>US</t>
        </is>
      </c>
      <c r="H121" s="7" t="inlineStr">
        <is>
          <t>San Francisco</t>
        </is>
      </c>
      <c r="I121" s="8" t="inlineStr">
        <is>
          <t>https://www.linkedin.com/search/results/people/?keywords=Stephen%20Haney%20Paper</t>
        </is>
      </c>
      <c r="J121" s="9" t="inlineStr">
        <is>
          <t>No</t>
        </is>
      </c>
      <c r="K121" s="7" t="inlineStr">
        <is>
          <t>$34M Series A (design platform for agentic AI)</t>
        </is>
      </c>
      <c r="L121" s="7" t="inlineStr">
        <is>
          <t>2026-07</t>
        </is>
      </c>
      <c r="M121" s="10" t="inlineStr">
        <is>
          <t>https://www.finsmes.com/2026/07/paper-raises-34m-in-series-a-funding.html</t>
        </is>
      </c>
      <c r="N121" s="7" t="inlineStr">
        <is>
          <t>Not indexed</t>
        </is>
      </c>
      <c r="O121" s="7" t="inlineStr"/>
      <c r="P121" s="7" t="inlineStr">
        <is>
          <t>No own posts indexed.</t>
        </is>
      </c>
      <c r="Q121" s="7" t="n">
        <v>50</v>
      </c>
      <c r="R121" s="7">
        <f>IF(Q121&gt;=60,"Priority",IF(Q121&gt;=40,"Warm","Nurture"))</f>
        <v/>
      </c>
      <c r="S121" s="7" t="inlineStr">
        <is>
          <t>Designers follow people more than products. A founder voice on design for agentic AI would build Paper's audience.</t>
        </is>
      </c>
      <c r="T121" s="7" t="inlineStr">
        <is>
          <t>Hi Stephen, congrats on the Series A.
A design platform built for agentic AI is timely.
Would be good to connect.</t>
        </is>
      </c>
      <c r="U121" s="7" t="inlineStr">
        <is>
          <t>Thanks for connecting, Stephen.
Designers follow people more than tools.
Is LinkedIn part of how you want to reach them?</t>
        </is>
      </c>
      <c r="V121" s="7" t="inlineStr">
        <is>
          <t>Confirm profile; design point of view; product stories.</t>
        </is>
      </c>
      <c r="W121" s="7" t="inlineStr">
        <is>
          <t>VERIFY PROFILE. Trigger is Jul 2026. Email lookup pending.</t>
        </is>
      </c>
      <c r="X121" s="9" t="inlineStr"/>
      <c r="Y121" s="7" t="inlineStr">
        <is>
          <t>Paper's founder voice</t>
        </is>
      </c>
      <c r="Z121" s="7" t="inlineStr">
        <is>
          <t>Hi Stephen,
Congrats on the $34M Series A.
Designers follow people more than tools. A founder voice on design for agentic AI would grow Paper's audience.
We build founder brands on LinkedIn, from positioning to weekly posts.
Worth a 15-minute call?
Prabal
Gliped | LinkedIn personal branding for founders
Not relevant? Reply "no" and I won't follow up.</t>
        </is>
      </c>
      <c r="AA121" s="7" t="inlineStr">
        <is>
          <t>Pending</t>
        </is>
      </c>
      <c r="AB121" s="7" t="inlineStr">
        <is>
          <t>Prospeo rate limit hit on 2 Oct; retry lookup</t>
        </is>
      </c>
    </row>
  </sheetData>
  <autoFilter ref="A1:AB121"/>
  <conditionalFormatting sqref="J2:J321">
    <cfRule type="cellIs" priority="1" operator="equal" dxfId="0">
      <formula>"No"</formula>
    </cfRule>
  </conditionalFormatting>
  <conditionalFormatting sqref="AA2:AA321">
    <cfRule type="cellIs" priority="2" operator="equal" dxfId="1">
      <formula>"Verified"</formula>
    </cfRule>
    <cfRule type="cellIs" priority="3" operator="equal" dxfId="0">
      <formula>"Not found"</formula>
    </cfRule>
  </conditionalFormatting>
  <conditionalFormatting sqref="R2:R321">
    <cfRule type="cellIs" priority="4" operator="equal" dxfId="1">
      <formula>"Priority"</formula>
    </cfRule>
  </conditionalFormatting>
  <dataValidations count="1">
    <dataValidation sqref="J2:J321" showDropDown="0" showInputMessage="0" showErrorMessage="0" allowBlank="1" type="list">
      <formula1>=Lists!$C$2:$C$3</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M22" r:id="rId22"/>
    <hyperlink xmlns:r="http://schemas.openxmlformats.org/officeDocument/2006/relationships" ref="I23" r:id="rId23"/>
    <hyperlink xmlns:r="http://schemas.openxmlformats.org/officeDocument/2006/relationships" ref="M23" r:id="rId24"/>
    <hyperlink xmlns:r="http://schemas.openxmlformats.org/officeDocument/2006/relationships" ref="I24" r:id="rId25"/>
    <hyperlink xmlns:r="http://schemas.openxmlformats.org/officeDocument/2006/relationships" ref="M24" r:id="rId26"/>
    <hyperlink xmlns:r="http://schemas.openxmlformats.org/officeDocument/2006/relationships" ref="I25" r:id="rId27"/>
    <hyperlink xmlns:r="http://schemas.openxmlformats.org/officeDocument/2006/relationships" ref="M25" r:id="rId28"/>
    <hyperlink xmlns:r="http://schemas.openxmlformats.org/officeDocument/2006/relationships" ref="I26" r:id="rId29"/>
    <hyperlink xmlns:r="http://schemas.openxmlformats.org/officeDocument/2006/relationships" ref="M26" r:id="rId30"/>
    <hyperlink xmlns:r="http://schemas.openxmlformats.org/officeDocument/2006/relationships" ref="I27" r:id="rId31"/>
    <hyperlink xmlns:r="http://schemas.openxmlformats.org/officeDocument/2006/relationships" ref="M27" r:id="rId32"/>
    <hyperlink xmlns:r="http://schemas.openxmlformats.org/officeDocument/2006/relationships" ref="I28" r:id="rId33"/>
    <hyperlink xmlns:r="http://schemas.openxmlformats.org/officeDocument/2006/relationships" ref="M28" r:id="rId34"/>
    <hyperlink xmlns:r="http://schemas.openxmlformats.org/officeDocument/2006/relationships" ref="I29" r:id="rId35"/>
    <hyperlink xmlns:r="http://schemas.openxmlformats.org/officeDocument/2006/relationships" ref="M29" r:id="rId36"/>
    <hyperlink xmlns:r="http://schemas.openxmlformats.org/officeDocument/2006/relationships" ref="I30" r:id="rId37"/>
    <hyperlink xmlns:r="http://schemas.openxmlformats.org/officeDocument/2006/relationships" ref="M30" r:id="rId38"/>
    <hyperlink xmlns:r="http://schemas.openxmlformats.org/officeDocument/2006/relationships" ref="I31" r:id="rId39"/>
    <hyperlink xmlns:r="http://schemas.openxmlformats.org/officeDocument/2006/relationships" ref="M31" r:id="rId40"/>
    <hyperlink xmlns:r="http://schemas.openxmlformats.org/officeDocument/2006/relationships" ref="I32" r:id="rId41"/>
    <hyperlink xmlns:r="http://schemas.openxmlformats.org/officeDocument/2006/relationships" ref="M32" r:id="rId42"/>
    <hyperlink xmlns:r="http://schemas.openxmlformats.org/officeDocument/2006/relationships" ref="I33" r:id="rId43"/>
    <hyperlink xmlns:r="http://schemas.openxmlformats.org/officeDocument/2006/relationships" ref="M33" r:id="rId44"/>
    <hyperlink xmlns:r="http://schemas.openxmlformats.org/officeDocument/2006/relationships" ref="I34" r:id="rId45"/>
    <hyperlink xmlns:r="http://schemas.openxmlformats.org/officeDocument/2006/relationships" ref="M34" r:id="rId46"/>
    <hyperlink xmlns:r="http://schemas.openxmlformats.org/officeDocument/2006/relationships" ref="I35" r:id="rId47"/>
    <hyperlink xmlns:r="http://schemas.openxmlformats.org/officeDocument/2006/relationships" ref="M35" r:id="rId48"/>
    <hyperlink xmlns:r="http://schemas.openxmlformats.org/officeDocument/2006/relationships" ref="I36" r:id="rId49"/>
    <hyperlink xmlns:r="http://schemas.openxmlformats.org/officeDocument/2006/relationships" ref="M36" r:id="rId50"/>
    <hyperlink xmlns:r="http://schemas.openxmlformats.org/officeDocument/2006/relationships" ref="I37" r:id="rId51"/>
    <hyperlink xmlns:r="http://schemas.openxmlformats.org/officeDocument/2006/relationships" ref="M37" r:id="rId52"/>
    <hyperlink xmlns:r="http://schemas.openxmlformats.org/officeDocument/2006/relationships" ref="I38" r:id="rId53"/>
    <hyperlink xmlns:r="http://schemas.openxmlformats.org/officeDocument/2006/relationships" ref="M38" r:id="rId54"/>
    <hyperlink xmlns:r="http://schemas.openxmlformats.org/officeDocument/2006/relationships" ref="I39" r:id="rId55"/>
    <hyperlink xmlns:r="http://schemas.openxmlformats.org/officeDocument/2006/relationships" ref="M39" r:id="rId56"/>
    <hyperlink xmlns:r="http://schemas.openxmlformats.org/officeDocument/2006/relationships" ref="I40" r:id="rId57"/>
    <hyperlink xmlns:r="http://schemas.openxmlformats.org/officeDocument/2006/relationships" ref="M40" r:id="rId58"/>
    <hyperlink xmlns:r="http://schemas.openxmlformats.org/officeDocument/2006/relationships" ref="I41" r:id="rId59"/>
    <hyperlink xmlns:r="http://schemas.openxmlformats.org/officeDocument/2006/relationships" ref="M41" r:id="rId60"/>
    <hyperlink xmlns:r="http://schemas.openxmlformats.org/officeDocument/2006/relationships" ref="I42" r:id="rId61"/>
    <hyperlink xmlns:r="http://schemas.openxmlformats.org/officeDocument/2006/relationships" ref="M42" r:id="rId62"/>
    <hyperlink xmlns:r="http://schemas.openxmlformats.org/officeDocument/2006/relationships" ref="I43" r:id="rId63"/>
    <hyperlink xmlns:r="http://schemas.openxmlformats.org/officeDocument/2006/relationships" ref="M43" r:id="rId64"/>
    <hyperlink xmlns:r="http://schemas.openxmlformats.org/officeDocument/2006/relationships" ref="I44" r:id="rId65"/>
    <hyperlink xmlns:r="http://schemas.openxmlformats.org/officeDocument/2006/relationships" ref="M44" r:id="rId66"/>
    <hyperlink xmlns:r="http://schemas.openxmlformats.org/officeDocument/2006/relationships" ref="I45" r:id="rId67"/>
    <hyperlink xmlns:r="http://schemas.openxmlformats.org/officeDocument/2006/relationships" ref="M45" r:id="rId68"/>
    <hyperlink xmlns:r="http://schemas.openxmlformats.org/officeDocument/2006/relationships" ref="I46" r:id="rId69"/>
    <hyperlink xmlns:r="http://schemas.openxmlformats.org/officeDocument/2006/relationships" ref="M46" r:id="rId70"/>
    <hyperlink xmlns:r="http://schemas.openxmlformats.org/officeDocument/2006/relationships" ref="I47" r:id="rId71"/>
    <hyperlink xmlns:r="http://schemas.openxmlformats.org/officeDocument/2006/relationships" ref="M47" r:id="rId72"/>
    <hyperlink xmlns:r="http://schemas.openxmlformats.org/officeDocument/2006/relationships" ref="I48" r:id="rId73"/>
    <hyperlink xmlns:r="http://schemas.openxmlformats.org/officeDocument/2006/relationships" ref="M48" r:id="rId74"/>
    <hyperlink xmlns:r="http://schemas.openxmlformats.org/officeDocument/2006/relationships" ref="I49" r:id="rId75"/>
    <hyperlink xmlns:r="http://schemas.openxmlformats.org/officeDocument/2006/relationships" ref="M49" r:id="rId76"/>
    <hyperlink xmlns:r="http://schemas.openxmlformats.org/officeDocument/2006/relationships" ref="I50" r:id="rId77"/>
    <hyperlink xmlns:r="http://schemas.openxmlformats.org/officeDocument/2006/relationships" ref="M50" r:id="rId78"/>
    <hyperlink xmlns:r="http://schemas.openxmlformats.org/officeDocument/2006/relationships" ref="I51" r:id="rId79"/>
    <hyperlink xmlns:r="http://schemas.openxmlformats.org/officeDocument/2006/relationships" ref="M51" r:id="rId80"/>
    <hyperlink xmlns:r="http://schemas.openxmlformats.org/officeDocument/2006/relationships" ref="I52" r:id="rId81"/>
    <hyperlink xmlns:r="http://schemas.openxmlformats.org/officeDocument/2006/relationships" ref="M52" r:id="rId82"/>
    <hyperlink xmlns:r="http://schemas.openxmlformats.org/officeDocument/2006/relationships" ref="I53" r:id="rId83"/>
    <hyperlink xmlns:r="http://schemas.openxmlformats.org/officeDocument/2006/relationships" ref="M53" r:id="rId84"/>
    <hyperlink xmlns:r="http://schemas.openxmlformats.org/officeDocument/2006/relationships" ref="I54" r:id="rId85"/>
    <hyperlink xmlns:r="http://schemas.openxmlformats.org/officeDocument/2006/relationships" ref="M54" r:id="rId86"/>
    <hyperlink xmlns:r="http://schemas.openxmlformats.org/officeDocument/2006/relationships" ref="I55" r:id="rId87"/>
    <hyperlink xmlns:r="http://schemas.openxmlformats.org/officeDocument/2006/relationships" ref="M55" r:id="rId88"/>
    <hyperlink xmlns:r="http://schemas.openxmlformats.org/officeDocument/2006/relationships" ref="I56" r:id="rId89"/>
    <hyperlink xmlns:r="http://schemas.openxmlformats.org/officeDocument/2006/relationships" ref="M56" r:id="rId90"/>
    <hyperlink xmlns:r="http://schemas.openxmlformats.org/officeDocument/2006/relationships" ref="I57" r:id="rId91"/>
    <hyperlink xmlns:r="http://schemas.openxmlformats.org/officeDocument/2006/relationships" ref="M57" r:id="rId92"/>
    <hyperlink xmlns:r="http://schemas.openxmlformats.org/officeDocument/2006/relationships" ref="I58" r:id="rId93"/>
    <hyperlink xmlns:r="http://schemas.openxmlformats.org/officeDocument/2006/relationships" ref="M58" r:id="rId94"/>
    <hyperlink xmlns:r="http://schemas.openxmlformats.org/officeDocument/2006/relationships" ref="I59" r:id="rId95"/>
    <hyperlink xmlns:r="http://schemas.openxmlformats.org/officeDocument/2006/relationships" ref="M59" r:id="rId96"/>
    <hyperlink xmlns:r="http://schemas.openxmlformats.org/officeDocument/2006/relationships" ref="I60" r:id="rId97"/>
    <hyperlink xmlns:r="http://schemas.openxmlformats.org/officeDocument/2006/relationships" ref="M60" r:id="rId98"/>
    <hyperlink xmlns:r="http://schemas.openxmlformats.org/officeDocument/2006/relationships" ref="I61" r:id="rId99"/>
    <hyperlink xmlns:r="http://schemas.openxmlformats.org/officeDocument/2006/relationships" ref="M61" r:id="rId100"/>
    <hyperlink xmlns:r="http://schemas.openxmlformats.org/officeDocument/2006/relationships" ref="I62" r:id="rId101"/>
    <hyperlink xmlns:r="http://schemas.openxmlformats.org/officeDocument/2006/relationships" ref="M62" r:id="rId102"/>
    <hyperlink xmlns:r="http://schemas.openxmlformats.org/officeDocument/2006/relationships" ref="I63" r:id="rId103"/>
    <hyperlink xmlns:r="http://schemas.openxmlformats.org/officeDocument/2006/relationships" ref="M63" r:id="rId104"/>
    <hyperlink xmlns:r="http://schemas.openxmlformats.org/officeDocument/2006/relationships" ref="I64" r:id="rId105"/>
    <hyperlink xmlns:r="http://schemas.openxmlformats.org/officeDocument/2006/relationships" ref="M64" r:id="rId106"/>
    <hyperlink xmlns:r="http://schemas.openxmlformats.org/officeDocument/2006/relationships" ref="I65" r:id="rId107"/>
    <hyperlink xmlns:r="http://schemas.openxmlformats.org/officeDocument/2006/relationships" ref="M65" r:id="rId108"/>
    <hyperlink xmlns:r="http://schemas.openxmlformats.org/officeDocument/2006/relationships" ref="I66" r:id="rId109"/>
    <hyperlink xmlns:r="http://schemas.openxmlformats.org/officeDocument/2006/relationships" ref="M66" r:id="rId110"/>
    <hyperlink xmlns:r="http://schemas.openxmlformats.org/officeDocument/2006/relationships" ref="I67" r:id="rId111"/>
    <hyperlink xmlns:r="http://schemas.openxmlformats.org/officeDocument/2006/relationships" ref="M67" r:id="rId112"/>
    <hyperlink xmlns:r="http://schemas.openxmlformats.org/officeDocument/2006/relationships" ref="I68" r:id="rId113"/>
    <hyperlink xmlns:r="http://schemas.openxmlformats.org/officeDocument/2006/relationships" ref="M68" r:id="rId114"/>
    <hyperlink xmlns:r="http://schemas.openxmlformats.org/officeDocument/2006/relationships" ref="I69" r:id="rId115"/>
    <hyperlink xmlns:r="http://schemas.openxmlformats.org/officeDocument/2006/relationships" ref="M69" r:id="rId116"/>
    <hyperlink xmlns:r="http://schemas.openxmlformats.org/officeDocument/2006/relationships" ref="I70" r:id="rId117"/>
    <hyperlink xmlns:r="http://schemas.openxmlformats.org/officeDocument/2006/relationships" ref="M70" r:id="rId118"/>
    <hyperlink xmlns:r="http://schemas.openxmlformats.org/officeDocument/2006/relationships" ref="I71" r:id="rId119"/>
    <hyperlink xmlns:r="http://schemas.openxmlformats.org/officeDocument/2006/relationships" ref="M71" r:id="rId120"/>
    <hyperlink xmlns:r="http://schemas.openxmlformats.org/officeDocument/2006/relationships" ref="I72" r:id="rId121"/>
    <hyperlink xmlns:r="http://schemas.openxmlformats.org/officeDocument/2006/relationships" ref="M72" r:id="rId122"/>
    <hyperlink xmlns:r="http://schemas.openxmlformats.org/officeDocument/2006/relationships" ref="I73" r:id="rId123"/>
    <hyperlink xmlns:r="http://schemas.openxmlformats.org/officeDocument/2006/relationships" ref="M73" r:id="rId124"/>
    <hyperlink xmlns:r="http://schemas.openxmlformats.org/officeDocument/2006/relationships" ref="I74" r:id="rId125"/>
    <hyperlink xmlns:r="http://schemas.openxmlformats.org/officeDocument/2006/relationships" ref="M74" r:id="rId126"/>
    <hyperlink xmlns:r="http://schemas.openxmlformats.org/officeDocument/2006/relationships" ref="I75" r:id="rId127"/>
    <hyperlink xmlns:r="http://schemas.openxmlformats.org/officeDocument/2006/relationships" ref="M75" r:id="rId128"/>
    <hyperlink xmlns:r="http://schemas.openxmlformats.org/officeDocument/2006/relationships" ref="I76" r:id="rId129"/>
    <hyperlink xmlns:r="http://schemas.openxmlformats.org/officeDocument/2006/relationships" ref="M76" r:id="rId130"/>
    <hyperlink xmlns:r="http://schemas.openxmlformats.org/officeDocument/2006/relationships" ref="I77" r:id="rId131"/>
    <hyperlink xmlns:r="http://schemas.openxmlformats.org/officeDocument/2006/relationships" ref="M77" r:id="rId132"/>
    <hyperlink xmlns:r="http://schemas.openxmlformats.org/officeDocument/2006/relationships" ref="I78" r:id="rId133"/>
    <hyperlink xmlns:r="http://schemas.openxmlformats.org/officeDocument/2006/relationships" ref="M78" r:id="rId134"/>
    <hyperlink xmlns:r="http://schemas.openxmlformats.org/officeDocument/2006/relationships" ref="I79" r:id="rId135"/>
    <hyperlink xmlns:r="http://schemas.openxmlformats.org/officeDocument/2006/relationships" ref="M79" r:id="rId136"/>
    <hyperlink xmlns:r="http://schemas.openxmlformats.org/officeDocument/2006/relationships" ref="I80" r:id="rId137"/>
    <hyperlink xmlns:r="http://schemas.openxmlformats.org/officeDocument/2006/relationships" ref="M80" r:id="rId138"/>
    <hyperlink xmlns:r="http://schemas.openxmlformats.org/officeDocument/2006/relationships" ref="I81" r:id="rId139"/>
    <hyperlink xmlns:r="http://schemas.openxmlformats.org/officeDocument/2006/relationships" ref="M81" r:id="rId140"/>
    <hyperlink xmlns:r="http://schemas.openxmlformats.org/officeDocument/2006/relationships" ref="I82" r:id="rId141"/>
    <hyperlink xmlns:r="http://schemas.openxmlformats.org/officeDocument/2006/relationships" ref="M82" r:id="rId142"/>
    <hyperlink xmlns:r="http://schemas.openxmlformats.org/officeDocument/2006/relationships" ref="I83" r:id="rId143"/>
    <hyperlink xmlns:r="http://schemas.openxmlformats.org/officeDocument/2006/relationships" ref="M83" r:id="rId144"/>
    <hyperlink xmlns:r="http://schemas.openxmlformats.org/officeDocument/2006/relationships" ref="I84" r:id="rId145"/>
    <hyperlink xmlns:r="http://schemas.openxmlformats.org/officeDocument/2006/relationships" ref="M84" r:id="rId146"/>
    <hyperlink xmlns:r="http://schemas.openxmlformats.org/officeDocument/2006/relationships" ref="I85" r:id="rId147"/>
    <hyperlink xmlns:r="http://schemas.openxmlformats.org/officeDocument/2006/relationships" ref="M85" r:id="rId148"/>
    <hyperlink xmlns:r="http://schemas.openxmlformats.org/officeDocument/2006/relationships" ref="I86" r:id="rId149"/>
    <hyperlink xmlns:r="http://schemas.openxmlformats.org/officeDocument/2006/relationships" ref="M86" r:id="rId150"/>
    <hyperlink xmlns:r="http://schemas.openxmlformats.org/officeDocument/2006/relationships" ref="I87" r:id="rId151"/>
    <hyperlink xmlns:r="http://schemas.openxmlformats.org/officeDocument/2006/relationships" ref="M87" r:id="rId152"/>
    <hyperlink xmlns:r="http://schemas.openxmlformats.org/officeDocument/2006/relationships" ref="I88" r:id="rId153"/>
    <hyperlink xmlns:r="http://schemas.openxmlformats.org/officeDocument/2006/relationships" ref="M88" r:id="rId154"/>
    <hyperlink xmlns:r="http://schemas.openxmlformats.org/officeDocument/2006/relationships" ref="I89" r:id="rId155"/>
    <hyperlink xmlns:r="http://schemas.openxmlformats.org/officeDocument/2006/relationships" ref="M89" r:id="rId156"/>
    <hyperlink xmlns:r="http://schemas.openxmlformats.org/officeDocument/2006/relationships" ref="I90" r:id="rId157"/>
    <hyperlink xmlns:r="http://schemas.openxmlformats.org/officeDocument/2006/relationships" ref="M90" r:id="rId158"/>
    <hyperlink xmlns:r="http://schemas.openxmlformats.org/officeDocument/2006/relationships" ref="I91" r:id="rId159"/>
    <hyperlink xmlns:r="http://schemas.openxmlformats.org/officeDocument/2006/relationships" ref="M91" r:id="rId160"/>
    <hyperlink xmlns:r="http://schemas.openxmlformats.org/officeDocument/2006/relationships" ref="I92" r:id="rId161"/>
    <hyperlink xmlns:r="http://schemas.openxmlformats.org/officeDocument/2006/relationships" ref="M92" r:id="rId162"/>
    <hyperlink xmlns:r="http://schemas.openxmlformats.org/officeDocument/2006/relationships" ref="I93" r:id="rId163"/>
    <hyperlink xmlns:r="http://schemas.openxmlformats.org/officeDocument/2006/relationships" ref="M93" r:id="rId164"/>
    <hyperlink xmlns:r="http://schemas.openxmlformats.org/officeDocument/2006/relationships" ref="I94" r:id="rId165"/>
    <hyperlink xmlns:r="http://schemas.openxmlformats.org/officeDocument/2006/relationships" ref="M94" r:id="rId166"/>
    <hyperlink xmlns:r="http://schemas.openxmlformats.org/officeDocument/2006/relationships" ref="I95" r:id="rId167"/>
    <hyperlink xmlns:r="http://schemas.openxmlformats.org/officeDocument/2006/relationships" ref="M95" r:id="rId168"/>
    <hyperlink xmlns:r="http://schemas.openxmlformats.org/officeDocument/2006/relationships" ref="I96" r:id="rId169"/>
    <hyperlink xmlns:r="http://schemas.openxmlformats.org/officeDocument/2006/relationships" ref="M96" r:id="rId170"/>
    <hyperlink xmlns:r="http://schemas.openxmlformats.org/officeDocument/2006/relationships" ref="I97" r:id="rId171"/>
    <hyperlink xmlns:r="http://schemas.openxmlformats.org/officeDocument/2006/relationships" ref="M97" r:id="rId172"/>
    <hyperlink xmlns:r="http://schemas.openxmlformats.org/officeDocument/2006/relationships" ref="I98" r:id="rId173"/>
    <hyperlink xmlns:r="http://schemas.openxmlformats.org/officeDocument/2006/relationships" ref="M98" r:id="rId174"/>
    <hyperlink xmlns:r="http://schemas.openxmlformats.org/officeDocument/2006/relationships" ref="I99" r:id="rId175"/>
    <hyperlink xmlns:r="http://schemas.openxmlformats.org/officeDocument/2006/relationships" ref="M99" r:id="rId176"/>
    <hyperlink xmlns:r="http://schemas.openxmlformats.org/officeDocument/2006/relationships" ref="I100" r:id="rId177"/>
    <hyperlink xmlns:r="http://schemas.openxmlformats.org/officeDocument/2006/relationships" ref="M100" r:id="rId178"/>
    <hyperlink xmlns:r="http://schemas.openxmlformats.org/officeDocument/2006/relationships" ref="I101" r:id="rId179"/>
    <hyperlink xmlns:r="http://schemas.openxmlformats.org/officeDocument/2006/relationships" ref="M101" r:id="rId180"/>
    <hyperlink xmlns:r="http://schemas.openxmlformats.org/officeDocument/2006/relationships" ref="I102" r:id="rId181"/>
    <hyperlink xmlns:r="http://schemas.openxmlformats.org/officeDocument/2006/relationships" ref="M102" r:id="rId182"/>
    <hyperlink xmlns:r="http://schemas.openxmlformats.org/officeDocument/2006/relationships" ref="I103" r:id="rId183"/>
    <hyperlink xmlns:r="http://schemas.openxmlformats.org/officeDocument/2006/relationships" ref="M103" r:id="rId184"/>
    <hyperlink xmlns:r="http://schemas.openxmlformats.org/officeDocument/2006/relationships" ref="I104" r:id="rId185"/>
    <hyperlink xmlns:r="http://schemas.openxmlformats.org/officeDocument/2006/relationships" ref="M104" r:id="rId186"/>
    <hyperlink xmlns:r="http://schemas.openxmlformats.org/officeDocument/2006/relationships" ref="I105" r:id="rId187"/>
    <hyperlink xmlns:r="http://schemas.openxmlformats.org/officeDocument/2006/relationships" ref="M105" r:id="rId188"/>
    <hyperlink xmlns:r="http://schemas.openxmlformats.org/officeDocument/2006/relationships" ref="I106" r:id="rId189"/>
    <hyperlink xmlns:r="http://schemas.openxmlformats.org/officeDocument/2006/relationships" ref="M106" r:id="rId190"/>
    <hyperlink xmlns:r="http://schemas.openxmlformats.org/officeDocument/2006/relationships" ref="I107" r:id="rId191"/>
    <hyperlink xmlns:r="http://schemas.openxmlformats.org/officeDocument/2006/relationships" ref="M107" r:id="rId192"/>
    <hyperlink xmlns:r="http://schemas.openxmlformats.org/officeDocument/2006/relationships" ref="I108" r:id="rId193"/>
    <hyperlink xmlns:r="http://schemas.openxmlformats.org/officeDocument/2006/relationships" ref="M108" r:id="rId194"/>
    <hyperlink xmlns:r="http://schemas.openxmlformats.org/officeDocument/2006/relationships" ref="I109" r:id="rId195"/>
    <hyperlink xmlns:r="http://schemas.openxmlformats.org/officeDocument/2006/relationships" ref="M109" r:id="rId196"/>
    <hyperlink xmlns:r="http://schemas.openxmlformats.org/officeDocument/2006/relationships" ref="I110" r:id="rId197"/>
    <hyperlink xmlns:r="http://schemas.openxmlformats.org/officeDocument/2006/relationships" ref="M110" r:id="rId198"/>
    <hyperlink xmlns:r="http://schemas.openxmlformats.org/officeDocument/2006/relationships" ref="I111" r:id="rId199"/>
    <hyperlink xmlns:r="http://schemas.openxmlformats.org/officeDocument/2006/relationships" ref="M111" r:id="rId200"/>
    <hyperlink xmlns:r="http://schemas.openxmlformats.org/officeDocument/2006/relationships" ref="I112" r:id="rId201"/>
    <hyperlink xmlns:r="http://schemas.openxmlformats.org/officeDocument/2006/relationships" ref="M112" r:id="rId202"/>
    <hyperlink xmlns:r="http://schemas.openxmlformats.org/officeDocument/2006/relationships" ref="I113" r:id="rId203"/>
    <hyperlink xmlns:r="http://schemas.openxmlformats.org/officeDocument/2006/relationships" ref="M113" r:id="rId204"/>
    <hyperlink xmlns:r="http://schemas.openxmlformats.org/officeDocument/2006/relationships" ref="I114" r:id="rId205"/>
    <hyperlink xmlns:r="http://schemas.openxmlformats.org/officeDocument/2006/relationships" ref="M114" r:id="rId206"/>
    <hyperlink xmlns:r="http://schemas.openxmlformats.org/officeDocument/2006/relationships" ref="I115" r:id="rId207"/>
    <hyperlink xmlns:r="http://schemas.openxmlformats.org/officeDocument/2006/relationships" ref="M115" r:id="rId208"/>
    <hyperlink xmlns:r="http://schemas.openxmlformats.org/officeDocument/2006/relationships" ref="I116" r:id="rId209"/>
    <hyperlink xmlns:r="http://schemas.openxmlformats.org/officeDocument/2006/relationships" ref="M116" r:id="rId210"/>
    <hyperlink xmlns:r="http://schemas.openxmlformats.org/officeDocument/2006/relationships" ref="I117" r:id="rId211"/>
    <hyperlink xmlns:r="http://schemas.openxmlformats.org/officeDocument/2006/relationships" ref="M117" r:id="rId212"/>
    <hyperlink xmlns:r="http://schemas.openxmlformats.org/officeDocument/2006/relationships" ref="I118" r:id="rId213"/>
    <hyperlink xmlns:r="http://schemas.openxmlformats.org/officeDocument/2006/relationships" ref="M118" r:id="rId214"/>
    <hyperlink xmlns:r="http://schemas.openxmlformats.org/officeDocument/2006/relationships" ref="I119" r:id="rId215"/>
    <hyperlink xmlns:r="http://schemas.openxmlformats.org/officeDocument/2006/relationships" ref="M119" r:id="rId216"/>
    <hyperlink xmlns:r="http://schemas.openxmlformats.org/officeDocument/2006/relationships" ref="I120" r:id="rId217"/>
    <hyperlink xmlns:r="http://schemas.openxmlformats.org/officeDocument/2006/relationships" ref="M120" r:id="rId218"/>
    <hyperlink xmlns:r="http://schemas.openxmlformats.org/officeDocument/2006/relationships" ref="I121" r:id="rId219"/>
    <hyperlink xmlns:r="http://schemas.openxmlformats.org/officeDocument/2006/relationships" ref="M121" r:id="rId2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10" customWidth="1" min="4" max="4"/>
    <col width="9" customWidth="1" min="5" max="5"/>
    <col width="17" customWidth="1" min="6" max="6"/>
    <col width="10" customWidth="1" min="7" max="7"/>
    <col width="16"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0" customWidth="1" min="20" max="20"/>
    <col width="11" customWidth="1" min="21" max="21"/>
    <col width="30" customWidth="1" min="22" max="22"/>
    <col width="12" customWidth="1" min="23" max="23"/>
    <col width="10" customWidth="1" min="24" max="24"/>
    <col width="40" customWidth="1" min="25" max="25"/>
    <col width="24" customWidth="1" min="26" max="26"/>
    <col width="12" customWidth="1" min="27" max="27"/>
    <col width="12" customWidth="1" min="28" max="28"/>
    <col width="12" customWidth="1" min="29" max="29"/>
  </cols>
  <sheetData>
    <row r="1" ht="32" customHeight="1">
      <c r="A1" s="6" t="inlineStr">
        <is>
          <t>ID</t>
        </is>
      </c>
      <c r="B1" s="6" t="inlineStr">
        <is>
          <t>Name</t>
        </is>
      </c>
      <c r="C1" s="6" t="inlineStr">
        <is>
          <t>Company</t>
        </is>
      </c>
      <c r="D1" s="6" t="inlineStr">
        <is>
          <t>Region</t>
        </is>
      </c>
      <c r="E1" s="6" t="inlineStr">
        <is>
          <t>Tier</t>
        </is>
      </c>
      <c r="F1" s="6" t="inlineStr">
        <is>
          <t>Activity pattern</t>
        </is>
      </c>
      <c r="G1" s="6" t="inlineStr">
        <is>
          <t>Profile confirmed</t>
        </is>
      </c>
      <c r="H1" s="6" t="inlineStr">
        <is>
          <t>Status</t>
        </is>
      </c>
      <c r="I1" s="6" t="inlineStr">
        <is>
          <t>Warm-up started</t>
        </is>
      </c>
      <c r="J1" s="6" t="inlineStr">
        <is>
          <t>Connection sent</t>
        </is>
      </c>
      <c r="K1" s="6" t="inlineStr">
        <is>
          <t>Accepted</t>
        </is>
      </c>
      <c r="L1" s="6" t="inlineStr">
        <is>
          <t>First DM sent</t>
        </is>
      </c>
      <c r="M1" s="6" t="inlineStr">
        <is>
          <t>FU1 due</t>
        </is>
      </c>
      <c r="N1" s="6" t="inlineStr">
        <is>
          <t>FU1 sent</t>
        </is>
      </c>
      <c r="O1" s="6" t="inlineStr">
        <is>
          <t>FU2 due</t>
        </is>
      </c>
      <c r="P1" s="6" t="inlineStr">
        <is>
          <t>FU2 sent</t>
        </is>
      </c>
      <c r="Q1" s="6" t="inlineStr">
        <is>
          <t>Replied</t>
        </is>
      </c>
      <c r="R1" s="6" t="inlineStr">
        <is>
          <t>Teardown sent</t>
        </is>
      </c>
      <c r="S1" s="6" t="inlineStr">
        <is>
          <t>Call booked</t>
        </is>
      </c>
      <c r="T1" s="6" t="inlineStr">
        <is>
          <t>Call held (Y/N)</t>
        </is>
      </c>
      <c r="U1" s="6" t="inlineStr">
        <is>
          <t>Outcome</t>
        </is>
      </c>
      <c r="V1" s="6" t="inlineStr">
        <is>
          <t>Next action</t>
        </is>
      </c>
      <c r="W1" s="6" t="inlineStr">
        <is>
          <t>Next action date</t>
        </is>
      </c>
      <c r="X1" s="6" t="inlineStr">
        <is>
          <t>Days since last touch</t>
        </is>
      </c>
      <c r="Y1" s="6" t="inlineStr">
        <is>
          <t>Notes</t>
        </is>
      </c>
      <c r="Z1" s="6" t="inlineStr">
        <is>
          <t>Email address</t>
        </is>
      </c>
      <c r="AA1" s="6" t="inlineStr">
        <is>
          <t>Email sent</t>
        </is>
      </c>
      <c r="AB1" s="6" t="inlineStr">
        <is>
          <t>Email FU due</t>
        </is>
      </c>
      <c r="AC1" s="6" t="inlineStr">
        <is>
          <t>Email FU sent</t>
        </is>
      </c>
    </row>
    <row r="2">
      <c r="A2" s="11" t="inlineStr">
        <is>
          <t>G001</t>
        </is>
      </c>
      <c r="B2" s="11">
        <f>IFERROR(INDEX(Leads!$D:$D,MATCH($A2,Leads!$A:$A,0)),"")</f>
        <v/>
      </c>
      <c r="C2" s="11">
        <f>IFERROR(INDEX(Leads!$F:$F,MATCH($A2,Leads!$A:$A,0)),"")</f>
        <v/>
      </c>
      <c r="D2" s="11">
        <f>IFERROR(INDEX(Leads!$G:$G,MATCH($A2,Leads!$A:$A,0)),"")</f>
        <v/>
      </c>
      <c r="E2" s="11">
        <f>IFERROR(INDEX(Leads!$R:$R,MATCH($A2,Leads!$A:$A,0)),"")</f>
        <v/>
      </c>
      <c r="F2" s="11">
        <f>IFERROR(INDEX(Leads!$N:$N,MATCH($A2,Leads!$A:$A,0)),"")</f>
        <v/>
      </c>
      <c r="G2" s="11">
        <f>IFERROR(INDEX(Leads!$J:$J,MATCH($A2,Leads!$A:$A,0)),"")</f>
        <v/>
      </c>
      <c r="H2" s="12" t="inlineStr">
        <is>
          <t>Not started</t>
        </is>
      </c>
      <c r="I2" s="13" t="n"/>
      <c r="J2" s="13" t="n"/>
      <c r="K2" s="13" t="n"/>
      <c r="L2" s="13" t="n"/>
      <c r="M2" s="14">
        <f>IF(L2="","",L2+4)</f>
        <v/>
      </c>
      <c r="N2" s="13" t="n"/>
      <c r="O2" s="14">
        <f>IF(N2="","",N2+6)</f>
        <v/>
      </c>
      <c r="P2" s="13" t="n"/>
      <c r="Q2" s="13" t="n"/>
      <c r="R2" s="13" t="n"/>
      <c r="S2" s="13" t="n"/>
      <c r="T2" s="12" t="n"/>
      <c r="U2" s="12" t="n"/>
      <c r="V2" s="9" t="n"/>
      <c r="W2" s="13" t="n"/>
      <c r="X2" s="11">
        <f>IF(MAX(I2:L2,N2,P2:S2,AA2,AC2)=0,"",TODAY()-MAX(I2:L2,N2,P2:S2,AA2,AC2))</f>
        <v/>
      </c>
      <c r="Y2" s="9" t="n"/>
      <c r="Z2" s="11">
        <f>IFERROR(IF(INDEX(Leads!$X:$X,MATCH($A2,Leads!$A:$A,0))="","",INDEX(Leads!$X:$X,MATCH($A2,Leads!$A:$A,0))),"")</f>
        <v/>
      </c>
      <c r="AA2" s="13" t="n"/>
      <c r="AB2" s="14">
        <f>IF(AA2="","",AA2+5)</f>
        <v/>
      </c>
      <c r="AC2" s="13" t="n"/>
    </row>
    <row r="3">
      <c r="A3" s="11" t="inlineStr">
        <is>
          <t>G002</t>
        </is>
      </c>
      <c r="B3" s="11">
        <f>IFERROR(INDEX(Leads!$D:$D,MATCH($A3,Leads!$A:$A,0)),"")</f>
        <v/>
      </c>
      <c r="C3" s="11">
        <f>IFERROR(INDEX(Leads!$F:$F,MATCH($A3,Leads!$A:$A,0)),"")</f>
        <v/>
      </c>
      <c r="D3" s="11">
        <f>IFERROR(INDEX(Leads!$G:$G,MATCH($A3,Leads!$A:$A,0)),"")</f>
        <v/>
      </c>
      <c r="E3" s="11">
        <f>IFERROR(INDEX(Leads!$R:$R,MATCH($A3,Leads!$A:$A,0)),"")</f>
        <v/>
      </c>
      <c r="F3" s="11">
        <f>IFERROR(INDEX(Leads!$N:$N,MATCH($A3,Leads!$A:$A,0)),"")</f>
        <v/>
      </c>
      <c r="G3" s="11">
        <f>IFERROR(INDEX(Leads!$J:$J,MATCH($A3,Leads!$A:$A,0)),"")</f>
        <v/>
      </c>
      <c r="H3" s="12" t="inlineStr">
        <is>
          <t>Not started</t>
        </is>
      </c>
      <c r="I3" s="13" t="n"/>
      <c r="J3" s="13" t="n"/>
      <c r="K3" s="13" t="n"/>
      <c r="L3" s="13" t="n"/>
      <c r="M3" s="14">
        <f>IF(L3="","",L3+4)</f>
        <v/>
      </c>
      <c r="N3" s="13" t="n"/>
      <c r="O3" s="14">
        <f>IF(N3="","",N3+6)</f>
        <v/>
      </c>
      <c r="P3" s="13" t="n"/>
      <c r="Q3" s="13" t="n"/>
      <c r="R3" s="13" t="n"/>
      <c r="S3" s="13" t="n"/>
      <c r="T3" s="12" t="n"/>
      <c r="U3" s="12" t="n"/>
      <c r="V3" s="9" t="n"/>
      <c r="W3" s="13" t="n"/>
      <c r="X3" s="11">
        <f>IF(MAX(I3:L3,N3,P3:S3,AA3,AC3)=0,"",TODAY()-MAX(I3:L3,N3,P3:S3,AA3,AC3))</f>
        <v/>
      </c>
      <c r="Y3" s="9" t="n"/>
      <c r="Z3" s="11">
        <f>IFERROR(IF(INDEX(Leads!$X:$X,MATCH($A3,Leads!$A:$A,0))="","",INDEX(Leads!$X:$X,MATCH($A3,Leads!$A:$A,0))),"")</f>
        <v/>
      </c>
      <c r="AA3" s="13" t="n"/>
      <c r="AB3" s="14">
        <f>IF(AA3="","",AA3+5)</f>
        <v/>
      </c>
      <c r="AC3" s="13" t="n"/>
    </row>
    <row r="4">
      <c r="A4" s="11" t="inlineStr">
        <is>
          <t>G003</t>
        </is>
      </c>
      <c r="B4" s="11">
        <f>IFERROR(INDEX(Leads!$D:$D,MATCH($A4,Leads!$A:$A,0)),"")</f>
        <v/>
      </c>
      <c r="C4" s="11">
        <f>IFERROR(INDEX(Leads!$F:$F,MATCH($A4,Leads!$A:$A,0)),"")</f>
        <v/>
      </c>
      <c r="D4" s="11">
        <f>IFERROR(INDEX(Leads!$G:$G,MATCH($A4,Leads!$A:$A,0)),"")</f>
        <v/>
      </c>
      <c r="E4" s="11">
        <f>IFERROR(INDEX(Leads!$R:$R,MATCH($A4,Leads!$A:$A,0)),"")</f>
        <v/>
      </c>
      <c r="F4" s="11">
        <f>IFERROR(INDEX(Leads!$N:$N,MATCH($A4,Leads!$A:$A,0)),"")</f>
        <v/>
      </c>
      <c r="G4" s="11">
        <f>IFERROR(INDEX(Leads!$J:$J,MATCH($A4,Leads!$A:$A,0)),"")</f>
        <v/>
      </c>
      <c r="H4" s="12" t="inlineStr">
        <is>
          <t>Not started</t>
        </is>
      </c>
      <c r="I4" s="13" t="n"/>
      <c r="J4" s="13" t="n"/>
      <c r="K4" s="13" t="n"/>
      <c r="L4" s="13" t="n"/>
      <c r="M4" s="14">
        <f>IF(L4="","",L4+4)</f>
        <v/>
      </c>
      <c r="N4" s="13" t="n"/>
      <c r="O4" s="14">
        <f>IF(N4="","",N4+6)</f>
        <v/>
      </c>
      <c r="P4" s="13" t="n"/>
      <c r="Q4" s="13" t="n"/>
      <c r="R4" s="13" t="n"/>
      <c r="S4" s="13" t="n"/>
      <c r="T4" s="12" t="n"/>
      <c r="U4" s="12" t="n"/>
      <c r="V4" s="9" t="n"/>
      <c r="W4" s="13" t="n"/>
      <c r="X4" s="11">
        <f>IF(MAX(I4:L4,N4,P4:S4,AA4,AC4)=0,"",TODAY()-MAX(I4:L4,N4,P4:S4,AA4,AC4))</f>
        <v/>
      </c>
      <c r="Y4" s="9" t="n"/>
      <c r="Z4" s="11">
        <f>IFERROR(IF(INDEX(Leads!$X:$X,MATCH($A4,Leads!$A:$A,0))="","",INDEX(Leads!$X:$X,MATCH($A4,Leads!$A:$A,0))),"")</f>
        <v/>
      </c>
      <c r="AA4" s="13" t="n"/>
      <c r="AB4" s="14">
        <f>IF(AA4="","",AA4+5)</f>
        <v/>
      </c>
      <c r="AC4" s="13" t="n"/>
    </row>
    <row r="5">
      <c r="A5" s="11" t="inlineStr">
        <is>
          <t>G004</t>
        </is>
      </c>
      <c r="B5" s="11">
        <f>IFERROR(INDEX(Leads!$D:$D,MATCH($A5,Leads!$A:$A,0)),"")</f>
        <v/>
      </c>
      <c r="C5" s="11">
        <f>IFERROR(INDEX(Leads!$F:$F,MATCH($A5,Leads!$A:$A,0)),"")</f>
        <v/>
      </c>
      <c r="D5" s="11">
        <f>IFERROR(INDEX(Leads!$G:$G,MATCH($A5,Leads!$A:$A,0)),"")</f>
        <v/>
      </c>
      <c r="E5" s="11">
        <f>IFERROR(INDEX(Leads!$R:$R,MATCH($A5,Leads!$A:$A,0)),"")</f>
        <v/>
      </c>
      <c r="F5" s="11">
        <f>IFERROR(INDEX(Leads!$N:$N,MATCH($A5,Leads!$A:$A,0)),"")</f>
        <v/>
      </c>
      <c r="G5" s="11">
        <f>IFERROR(INDEX(Leads!$J:$J,MATCH($A5,Leads!$A:$A,0)),"")</f>
        <v/>
      </c>
      <c r="H5" s="12" t="inlineStr">
        <is>
          <t>Not started</t>
        </is>
      </c>
      <c r="I5" s="13" t="n"/>
      <c r="J5" s="13" t="n"/>
      <c r="K5" s="13" t="n"/>
      <c r="L5" s="13" t="n"/>
      <c r="M5" s="14">
        <f>IF(L5="","",L5+4)</f>
        <v/>
      </c>
      <c r="N5" s="13" t="n"/>
      <c r="O5" s="14">
        <f>IF(N5="","",N5+6)</f>
        <v/>
      </c>
      <c r="P5" s="13" t="n"/>
      <c r="Q5" s="13" t="n"/>
      <c r="R5" s="13" t="n"/>
      <c r="S5" s="13" t="n"/>
      <c r="T5" s="12" t="n"/>
      <c r="U5" s="12" t="n"/>
      <c r="V5" s="9" t="n"/>
      <c r="W5" s="13" t="n"/>
      <c r="X5" s="11">
        <f>IF(MAX(I5:L5,N5,P5:S5,AA5,AC5)=0,"",TODAY()-MAX(I5:L5,N5,P5:S5,AA5,AC5))</f>
        <v/>
      </c>
      <c r="Y5" s="9" t="n"/>
      <c r="Z5" s="11">
        <f>IFERROR(IF(INDEX(Leads!$X:$X,MATCH($A5,Leads!$A:$A,0))="","",INDEX(Leads!$X:$X,MATCH($A5,Leads!$A:$A,0))),"")</f>
        <v/>
      </c>
      <c r="AA5" s="13" t="n"/>
      <c r="AB5" s="14">
        <f>IF(AA5="","",AA5+5)</f>
        <v/>
      </c>
      <c r="AC5" s="13" t="n"/>
    </row>
    <row r="6">
      <c r="A6" s="11" t="inlineStr">
        <is>
          <t>G005</t>
        </is>
      </c>
      <c r="B6" s="11">
        <f>IFERROR(INDEX(Leads!$D:$D,MATCH($A6,Leads!$A:$A,0)),"")</f>
        <v/>
      </c>
      <c r="C6" s="11">
        <f>IFERROR(INDEX(Leads!$F:$F,MATCH($A6,Leads!$A:$A,0)),"")</f>
        <v/>
      </c>
      <c r="D6" s="11">
        <f>IFERROR(INDEX(Leads!$G:$G,MATCH($A6,Leads!$A:$A,0)),"")</f>
        <v/>
      </c>
      <c r="E6" s="11">
        <f>IFERROR(INDEX(Leads!$R:$R,MATCH($A6,Leads!$A:$A,0)),"")</f>
        <v/>
      </c>
      <c r="F6" s="11">
        <f>IFERROR(INDEX(Leads!$N:$N,MATCH($A6,Leads!$A:$A,0)),"")</f>
        <v/>
      </c>
      <c r="G6" s="11">
        <f>IFERROR(INDEX(Leads!$J:$J,MATCH($A6,Leads!$A:$A,0)),"")</f>
        <v/>
      </c>
      <c r="H6" s="12" t="inlineStr">
        <is>
          <t>Not started</t>
        </is>
      </c>
      <c r="I6" s="13" t="n"/>
      <c r="J6" s="13" t="n"/>
      <c r="K6" s="13" t="n"/>
      <c r="L6" s="13" t="n"/>
      <c r="M6" s="14">
        <f>IF(L6="","",L6+4)</f>
        <v/>
      </c>
      <c r="N6" s="13" t="n"/>
      <c r="O6" s="14">
        <f>IF(N6="","",N6+6)</f>
        <v/>
      </c>
      <c r="P6" s="13" t="n"/>
      <c r="Q6" s="13" t="n"/>
      <c r="R6" s="13" t="n"/>
      <c r="S6" s="13" t="n"/>
      <c r="T6" s="12" t="n"/>
      <c r="U6" s="12" t="n"/>
      <c r="V6" s="9" t="n"/>
      <c r="W6" s="13" t="n"/>
      <c r="X6" s="11">
        <f>IF(MAX(I6:L6,N6,P6:S6,AA6,AC6)=0,"",TODAY()-MAX(I6:L6,N6,P6:S6,AA6,AC6))</f>
        <v/>
      </c>
      <c r="Y6" s="9" t="n"/>
      <c r="Z6" s="11">
        <f>IFERROR(IF(INDEX(Leads!$X:$X,MATCH($A6,Leads!$A:$A,0))="","",INDEX(Leads!$X:$X,MATCH($A6,Leads!$A:$A,0))),"")</f>
        <v/>
      </c>
      <c r="AA6" s="13" t="n"/>
      <c r="AB6" s="14">
        <f>IF(AA6="","",AA6+5)</f>
        <v/>
      </c>
      <c r="AC6" s="13" t="n"/>
    </row>
    <row r="7">
      <c r="A7" s="11" t="inlineStr">
        <is>
          <t>G006</t>
        </is>
      </c>
      <c r="B7" s="11">
        <f>IFERROR(INDEX(Leads!$D:$D,MATCH($A7,Leads!$A:$A,0)),"")</f>
        <v/>
      </c>
      <c r="C7" s="11">
        <f>IFERROR(INDEX(Leads!$F:$F,MATCH($A7,Leads!$A:$A,0)),"")</f>
        <v/>
      </c>
      <c r="D7" s="11">
        <f>IFERROR(INDEX(Leads!$G:$G,MATCH($A7,Leads!$A:$A,0)),"")</f>
        <v/>
      </c>
      <c r="E7" s="11">
        <f>IFERROR(INDEX(Leads!$R:$R,MATCH($A7,Leads!$A:$A,0)),"")</f>
        <v/>
      </c>
      <c r="F7" s="11">
        <f>IFERROR(INDEX(Leads!$N:$N,MATCH($A7,Leads!$A:$A,0)),"")</f>
        <v/>
      </c>
      <c r="G7" s="11">
        <f>IFERROR(INDEX(Leads!$J:$J,MATCH($A7,Leads!$A:$A,0)),"")</f>
        <v/>
      </c>
      <c r="H7" s="12" t="inlineStr">
        <is>
          <t>Not started</t>
        </is>
      </c>
      <c r="I7" s="13" t="n"/>
      <c r="J7" s="13" t="n"/>
      <c r="K7" s="13" t="n"/>
      <c r="L7" s="13" t="n"/>
      <c r="M7" s="14">
        <f>IF(L7="","",L7+4)</f>
        <v/>
      </c>
      <c r="N7" s="13" t="n"/>
      <c r="O7" s="14">
        <f>IF(N7="","",N7+6)</f>
        <v/>
      </c>
      <c r="P7" s="13" t="n"/>
      <c r="Q7" s="13" t="n"/>
      <c r="R7" s="13" t="n"/>
      <c r="S7" s="13" t="n"/>
      <c r="T7" s="12" t="n"/>
      <c r="U7" s="12" t="n"/>
      <c r="V7" s="9" t="n"/>
      <c r="W7" s="13" t="n"/>
      <c r="X7" s="11">
        <f>IF(MAX(I7:L7,N7,P7:S7,AA7,AC7)=0,"",TODAY()-MAX(I7:L7,N7,P7:S7,AA7,AC7))</f>
        <v/>
      </c>
      <c r="Y7" s="9" t="n"/>
      <c r="Z7" s="11">
        <f>IFERROR(IF(INDEX(Leads!$X:$X,MATCH($A7,Leads!$A:$A,0))="","",INDEX(Leads!$X:$X,MATCH($A7,Leads!$A:$A,0))),"")</f>
        <v/>
      </c>
      <c r="AA7" s="13" t="n"/>
      <c r="AB7" s="14">
        <f>IF(AA7="","",AA7+5)</f>
        <v/>
      </c>
      <c r="AC7" s="13" t="n"/>
    </row>
    <row r="8">
      <c r="A8" s="11" t="inlineStr">
        <is>
          <t>G007</t>
        </is>
      </c>
      <c r="B8" s="11">
        <f>IFERROR(INDEX(Leads!$D:$D,MATCH($A8,Leads!$A:$A,0)),"")</f>
        <v/>
      </c>
      <c r="C8" s="11">
        <f>IFERROR(INDEX(Leads!$F:$F,MATCH($A8,Leads!$A:$A,0)),"")</f>
        <v/>
      </c>
      <c r="D8" s="11">
        <f>IFERROR(INDEX(Leads!$G:$G,MATCH($A8,Leads!$A:$A,0)),"")</f>
        <v/>
      </c>
      <c r="E8" s="11">
        <f>IFERROR(INDEX(Leads!$R:$R,MATCH($A8,Leads!$A:$A,0)),"")</f>
        <v/>
      </c>
      <c r="F8" s="11">
        <f>IFERROR(INDEX(Leads!$N:$N,MATCH($A8,Leads!$A:$A,0)),"")</f>
        <v/>
      </c>
      <c r="G8" s="11">
        <f>IFERROR(INDEX(Leads!$J:$J,MATCH($A8,Leads!$A:$A,0)),"")</f>
        <v/>
      </c>
      <c r="H8" s="12" t="inlineStr">
        <is>
          <t>Not started</t>
        </is>
      </c>
      <c r="I8" s="13" t="n"/>
      <c r="J8" s="13" t="n"/>
      <c r="K8" s="13" t="n"/>
      <c r="L8" s="13" t="n"/>
      <c r="M8" s="14">
        <f>IF(L8="","",L8+4)</f>
        <v/>
      </c>
      <c r="N8" s="13" t="n"/>
      <c r="O8" s="14">
        <f>IF(N8="","",N8+6)</f>
        <v/>
      </c>
      <c r="P8" s="13" t="n"/>
      <c r="Q8" s="13" t="n"/>
      <c r="R8" s="13" t="n"/>
      <c r="S8" s="13" t="n"/>
      <c r="T8" s="12" t="n"/>
      <c r="U8" s="12" t="n"/>
      <c r="V8" s="9" t="n"/>
      <c r="W8" s="13" t="n"/>
      <c r="X8" s="11">
        <f>IF(MAX(I8:L8,N8,P8:S8,AA8,AC8)=0,"",TODAY()-MAX(I8:L8,N8,P8:S8,AA8,AC8))</f>
        <v/>
      </c>
      <c r="Y8" s="9" t="n"/>
      <c r="Z8" s="11">
        <f>IFERROR(IF(INDEX(Leads!$X:$X,MATCH($A8,Leads!$A:$A,0))="","",INDEX(Leads!$X:$X,MATCH($A8,Leads!$A:$A,0))),"")</f>
        <v/>
      </c>
      <c r="AA8" s="13" t="n"/>
      <c r="AB8" s="14">
        <f>IF(AA8="","",AA8+5)</f>
        <v/>
      </c>
      <c r="AC8" s="13" t="n"/>
    </row>
    <row r="9">
      <c r="A9" s="11" t="inlineStr">
        <is>
          <t>G008</t>
        </is>
      </c>
      <c r="B9" s="11">
        <f>IFERROR(INDEX(Leads!$D:$D,MATCH($A9,Leads!$A:$A,0)),"")</f>
        <v/>
      </c>
      <c r="C9" s="11">
        <f>IFERROR(INDEX(Leads!$F:$F,MATCH($A9,Leads!$A:$A,0)),"")</f>
        <v/>
      </c>
      <c r="D9" s="11">
        <f>IFERROR(INDEX(Leads!$G:$G,MATCH($A9,Leads!$A:$A,0)),"")</f>
        <v/>
      </c>
      <c r="E9" s="11">
        <f>IFERROR(INDEX(Leads!$R:$R,MATCH($A9,Leads!$A:$A,0)),"")</f>
        <v/>
      </c>
      <c r="F9" s="11">
        <f>IFERROR(INDEX(Leads!$N:$N,MATCH($A9,Leads!$A:$A,0)),"")</f>
        <v/>
      </c>
      <c r="G9" s="11">
        <f>IFERROR(INDEX(Leads!$J:$J,MATCH($A9,Leads!$A:$A,0)),"")</f>
        <v/>
      </c>
      <c r="H9" s="12" t="inlineStr">
        <is>
          <t>Not started</t>
        </is>
      </c>
      <c r="I9" s="13" t="n"/>
      <c r="J9" s="13" t="n"/>
      <c r="K9" s="13" t="n"/>
      <c r="L9" s="13" t="n"/>
      <c r="M9" s="14">
        <f>IF(L9="","",L9+4)</f>
        <v/>
      </c>
      <c r="N9" s="13" t="n"/>
      <c r="O9" s="14">
        <f>IF(N9="","",N9+6)</f>
        <v/>
      </c>
      <c r="P9" s="13" t="n"/>
      <c r="Q9" s="13" t="n"/>
      <c r="R9" s="13" t="n"/>
      <c r="S9" s="13" t="n"/>
      <c r="T9" s="12" t="n"/>
      <c r="U9" s="12" t="n"/>
      <c r="V9" s="9" t="n"/>
      <c r="W9" s="13" t="n"/>
      <c r="X9" s="11">
        <f>IF(MAX(I9:L9,N9,P9:S9,AA9,AC9)=0,"",TODAY()-MAX(I9:L9,N9,P9:S9,AA9,AC9))</f>
        <v/>
      </c>
      <c r="Y9" s="9" t="n"/>
      <c r="Z9" s="11">
        <f>IFERROR(IF(INDEX(Leads!$X:$X,MATCH($A9,Leads!$A:$A,0))="","",INDEX(Leads!$X:$X,MATCH($A9,Leads!$A:$A,0))),"")</f>
        <v/>
      </c>
      <c r="AA9" s="13" t="n"/>
      <c r="AB9" s="14">
        <f>IF(AA9="","",AA9+5)</f>
        <v/>
      </c>
      <c r="AC9" s="13" t="n"/>
    </row>
    <row r="10">
      <c r="A10" s="11" t="inlineStr">
        <is>
          <t>G009</t>
        </is>
      </c>
      <c r="B10" s="11">
        <f>IFERROR(INDEX(Leads!$D:$D,MATCH($A10,Leads!$A:$A,0)),"")</f>
        <v/>
      </c>
      <c r="C10" s="11">
        <f>IFERROR(INDEX(Leads!$F:$F,MATCH($A10,Leads!$A:$A,0)),"")</f>
        <v/>
      </c>
      <c r="D10" s="11">
        <f>IFERROR(INDEX(Leads!$G:$G,MATCH($A10,Leads!$A:$A,0)),"")</f>
        <v/>
      </c>
      <c r="E10" s="11">
        <f>IFERROR(INDEX(Leads!$R:$R,MATCH($A10,Leads!$A:$A,0)),"")</f>
        <v/>
      </c>
      <c r="F10" s="11">
        <f>IFERROR(INDEX(Leads!$N:$N,MATCH($A10,Leads!$A:$A,0)),"")</f>
        <v/>
      </c>
      <c r="G10" s="11">
        <f>IFERROR(INDEX(Leads!$J:$J,MATCH($A10,Leads!$A:$A,0)),"")</f>
        <v/>
      </c>
      <c r="H10" s="12" t="inlineStr">
        <is>
          <t>Not started</t>
        </is>
      </c>
      <c r="I10" s="13" t="n"/>
      <c r="J10" s="13" t="n"/>
      <c r="K10" s="13" t="n"/>
      <c r="L10" s="13" t="n"/>
      <c r="M10" s="14">
        <f>IF(L10="","",L10+4)</f>
        <v/>
      </c>
      <c r="N10" s="13" t="n"/>
      <c r="O10" s="14">
        <f>IF(N10="","",N10+6)</f>
        <v/>
      </c>
      <c r="P10" s="13" t="n"/>
      <c r="Q10" s="13" t="n"/>
      <c r="R10" s="13" t="n"/>
      <c r="S10" s="13" t="n"/>
      <c r="T10" s="12" t="n"/>
      <c r="U10" s="12" t="n"/>
      <c r="V10" s="9" t="n"/>
      <c r="W10" s="13" t="n"/>
      <c r="X10" s="11">
        <f>IF(MAX(I10:L10,N10,P10:S10,AA10,AC10)=0,"",TODAY()-MAX(I10:L10,N10,P10:S10,AA10,AC10))</f>
        <v/>
      </c>
      <c r="Y10" s="9" t="n"/>
      <c r="Z10" s="11">
        <f>IFERROR(IF(INDEX(Leads!$X:$X,MATCH($A10,Leads!$A:$A,0))="","",INDEX(Leads!$X:$X,MATCH($A10,Leads!$A:$A,0))),"")</f>
        <v/>
      </c>
      <c r="AA10" s="13" t="n"/>
      <c r="AB10" s="14">
        <f>IF(AA10="","",AA10+5)</f>
        <v/>
      </c>
      <c r="AC10" s="13" t="n"/>
    </row>
    <row r="11">
      <c r="A11" s="11" t="inlineStr">
        <is>
          <t>G010</t>
        </is>
      </c>
      <c r="B11" s="11">
        <f>IFERROR(INDEX(Leads!$D:$D,MATCH($A11,Leads!$A:$A,0)),"")</f>
        <v/>
      </c>
      <c r="C11" s="11">
        <f>IFERROR(INDEX(Leads!$F:$F,MATCH($A11,Leads!$A:$A,0)),"")</f>
        <v/>
      </c>
      <c r="D11" s="11">
        <f>IFERROR(INDEX(Leads!$G:$G,MATCH($A11,Leads!$A:$A,0)),"")</f>
        <v/>
      </c>
      <c r="E11" s="11">
        <f>IFERROR(INDEX(Leads!$R:$R,MATCH($A11,Leads!$A:$A,0)),"")</f>
        <v/>
      </c>
      <c r="F11" s="11">
        <f>IFERROR(INDEX(Leads!$N:$N,MATCH($A11,Leads!$A:$A,0)),"")</f>
        <v/>
      </c>
      <c r="G11" s="11">
        <f>IFERROR(INDEX(Leads!$J:$J,MATCH($A11,Leads!$A:$A,0)),"")</f>
        <v/>
      </c>
      <c r="H11" s="12" t="inlineStr">
        <is>
          <t>Not started</t>
        </is>
      </c>
      <c r="I11" s="13" t="n"/>
      <c r="J11" s="13" t="n"/>
      <c r="K11" s="13" t="n"/>
      <c r="L11" s="13" t="n"/>
      <c r="M11" s="14">
        <f>IF(L11="","",L11+4)</f>
        <v/>
      </c>
      <c r="N11" s="13" t="n"/>
      <c r="O11" s="14">
        <f>IF(N11="","",N11+6)</f>
        <v/>
      </c>
      <c r="P11" s="13" t="n"/>
      <c r="Q11" s="13" t="n"/>
      <c r="R11" s="13" t="n"/>
      <c r="S11" s="13" t="n"/>
      <c r="T11" s="12" t="n"/>
      <c r="U11" s="12" t="n"/>
      <c r="V11" s="9" t="n"/>
      <c r="W11" s="13" t="n"/>
      <c r="X11" s="11">
        <f>IF(MAX(I11:L11,N11,P11:S11,AA11,AC11)=0,"",TODAY()-MAX(I11:L11,N11,P11:S11,AA11,AC11))</f>
        <v/>
      </c>
      <c r="Y11" s="9" t="n"/>
      <c r="Z11" s="11">
        <f>IFERROR(IF(INDEX(Leads!$X:$X,MATCH($A11,Leads!$A:$A,0))="","",INDEX(Leads!$X:$X,MATCH($A11,Leads!$A:$A,0))),"")</f>
        <v/>
      </c>
      <c r="AA11" s="13" t="n"/>
      <c r="AB11" s="14">
        <f>IF(AA11="","",AA11+5)</f>
        <v/>
      </c>
      <c r="AC11" s="13" t="n"/>
    </row>
    <row r="12">
      <c r="A12" s="11" t="inlineStr">
        <is>
          <t>G011</t>
        </is>
      </c>
      <c r="B12" s="11">
        <f>IFERROR(INDEX(Leads!$D:$D,MATCH($A12,Leads!$A:$A,0)),"")</f>
        <v/>
      </c>
      <c r="C12" s="11">
        <f>IFERROR(INDEX(Leads!$F:$F,MATCH($A12,Leads!$A:$A,0)),"")</f>
        <v/>
      </c>
      <c r="D12" s="11">
        <f>IFERROR(INDEX(Leads!$G:$G,MATCH($A12,Leads!$A:$A,0)),"")</f>
        <v/>
      </c>
      <c r="E12" s="11">
        <f>IFERROR(INDEX(Leads!$R:$R,MATCH($A12,Leads!$A:$A,0)),"")</f>
        <v/>
      </c>
      <c r="F12" s="11">
        <f>IFERROR(INDEX(Leads!$N:$N,MATCH($A12,Leads!$A:$A,0)),"")</f>
        <v/>
      </c>
      <c r="G12" s="11">
        <f>IFERROR(INDEX(Leads!$J:$J,MATCH($A12,Leads!$A:$A,0)),"")</f>
        <v/>
      </c>
      <c r="H12" s="12" t="inlineStr">
        <is>
          <t>Not started</t>
        </is>
      </c>
      <c r="I12" s="13" t="n"/>
      <c r="J12" s="13" t="n"/>
      <c r="K12" s="13" t="n"/>
      <c r="L12" s="13" t="n"/>
      <c r="M12" s="14">
        <f>IF(L12="","",L12+4)</f>
        <v/>
      </c>
      <c r="N12" s="13" t="n"/>
      <c r="O12" s="14">
        <f>IF(N12="","",N12+6)</f>
        <v/>
      </c>
      <c r="P12" s="13" t="n"/>
      <c r="Q12" s="13" t="n"/>
      <c r="R12" s="13" t="n"/>
      <c r="S12" s="13" t="n"/>
      <c r="T12" s="12" t="n"/>
      <c r="U12" s="12" t="n"/>
      <c r="V12" s="9" t="n"/>
      <c r="W12" s="13" t="n"/>
      <c r="X12" s="11">
        <f>IF(MAX(I12:L12,N12,P12:S12,AA12,AC12)=0,"",TODAY()-MAX(I12:L12,N12,P12:S12,AA12,AC12))</f>
        <v/>
      </c>
      <c r="Y12" s="9" t="n"/>
      <c r="Z12" s="11">
        <f>IFERROR(IF(INDEX(Leads!$X:$X,MATCH($A12,Leads!$A:$A,0))="","",INDEX(Leads!$X:$X,MATCH($A12,Leads!$A:$A,0))),"")</f>
        <v/>
      </c>
      <c r="AA12" s="13" t="n"/>
      <c r="AB12" s="14">
        <f>IF(AA12="","",AA12+5)</f>
        <v/>
      </c>
      <c r="AC12" s="13" t="n"/>
    </row>
    <row r="13">
      <c r="A13" s="11" t="inlineStr">
        <is>
          <t>G012</t>
        </is>
      </c>
      <c r="B13" s="11">
        <f>IFERROR(INDEX(Leads!$D:$D,MATCH($A13,Leads!$A:$A,0)),"")</f>
        <v/>
      </c>
      <c r="C13" s="11">
        <f>IFERROR(INDEX(Leads!$F:$F,MATCH($A13,Leads!$A:$A,0)),"")</f>
        <v/>
      </c>
      <c r="D13" s="11">
        <f>IFERROR(INDEX(Leads!$G:$G,MATCH($A13,Leads!$A:$A,0)),"")</f>
        <v/>
      </c>
      <c r="E13" s="11">
        <f>IFERROR(INDEX(Leads!$R:$R,MATCH($A13,Leads!$A:$A,0)),"")</f>
        <v/>
      </c>
      <c r="F13" s="11">
        <f>IFERROR(INDEX(Leads!$N:$N,MATCH($A13,Leads!$A:$A,0)),"")</f>
        <v/>
      </c>
      <c r="G13" s="11">
        <f>IFERROR(INDEX(Leads!$J:$J,MATCH($A13,Leads!$A:$A,0)),"")</f>
        <v/>
      </c>
      <c r="H13" s="12" t="inlineStr">
        <is>
          <t>Not started</t>
        </is>
      </c>
      <c r="I13" s="13" t="n"/>
      <c r="J13" s="13" t="n"/>
      <c r="K13" s="13" t="n"/>
      <c r="L13" s="13" t="n"/>
      <c r="M13" s="14">
        <f>IF(L13="","",L13+4)</f>
        <v/>
      </c>
      <c r="N13" s="13" t="n"/>
      <c r="O13" s="14">
        <f>IF(N13="","",N13+6)</f>
        <v/>
      </c>
      <c r="P13" s="13" t="n"/>
      <c r="Q13" s="13" t="n"/>
      <c r="R13" s="13" t="n"/>
      <c r="S13" s="13" t="n"/>
      <c r="T13" s="12" t="n"/>
      <c r="U13" s="12" t="n"/>
      <c r="V13" s="9" t="n"/>
      <c r="W13" s="13" t="n"/>
      <c r="X13" s="11">
        <f>IF(MAX(I13:L13,N13,P13:S13,AA13,AC13)=0,"",TODAY()-MAX(I13:L13,N13,P13:S13,AA13,AC13))</f>
        <v/>
      </c>
      <c r="Y13" s="9" t="n"/>
      <c r="Z13" s="11">
        <f>IFERROR(IF(INDEX(Leads!$X:$X,MATCH($A13,Leads!$A:$A,0))="","",INDEX(Leads!$X:$X,MATCH($A13,Leads!$A:$A,0))),"")</f>
        <v/>
      </c>
      <c r="AA13" s="13" t="n"/>
      <c r="AB13" s="14">
        <f>IF(AA13="","",AA13+5)</f>
        <v/>
      </c>
      <c r="AC13" s="13" t="n"/>
    </row>
    <row r="14">
      <c r="A14" s="11" t="inlineStr">
        <is>
          <t>G013</t>
        </is>
      </c>
      <c r="B14" s="11">
        <f>IFERROR(INDEX(Leads!$D:$D,MATCH($A14,Leads!$A:$A,0)),"")</f>
        <v/>
      </c>
      <c r="C14" s="11">
        <f>IFERROR(INDEX(Leads!$F:$F,MATCH($A14,Leads!$A:$A,0)),"")</f>
        <v/>
      </c>
      <c r="D14" s="11">
        <f>IFERROR(INDEX(Leads!$G:$G,MATCH($A14,Leads!$A:$A,0)),"")</f>
        <v/>
      </c>
      <c r="E14" s="11">
        <f>IFERROR(INDEX(Leads!$R:$R,MATCH($A14,Leads!$A:$A,0)),"")</f>
        <v/>
      </c>
      <c r="F14" s="11">
        <f>IFERROR(INDEX(Leads!$N:$N,MATCH($A14,Leads!$A:$A,0)),"")</f>
        <v/>
      </c>
      <c r="G14" s="11">
        <f>IFERROR(INDEX(Leads!$J:$J,MATCH($A14,Leads!$A:$A,0)),"")</f>
        <v/>
      </c>
      <c r="H14" s="12" t="inlineStr">
        <is>
          <t>Not started</t>
        </is>
      </c>
      <c r="I14" s="13" t="n"/>
      <c r="J14" s="13" t="n"/>
      <c r="K14" s="13" t="n"/>
      <c r="L14" s="13" t="n"/>
      <c r="M14" s="14">
        <f>IF(L14="","",L14+4)</f>
        <v/>
      </c>
      <c r="N14" s="13" t="n"/>
      <c r="O14" s="14">
        <f>IF(N14="","",N14+6)</f>
        <v/>
      </c>
      <c r="P14" s="13" t="n"/>
      <c r="Q14" s="13" t="n"/>
      <c r="R14" s="13" t="n"/>
      <c r="S14" s="13" t="n"/>
      <c r="T14" s="12" t="n"/>
      <c r="U14" s="12" t="n"/>
      <c r="V14" s="9" t="n"/>
      <c r="W14" s="13" t="n"/>
      <c r="X14" s="11">
        <f>IF(MAX(I14:L14,N14,P14:S14,AA14,AC14)=0,"",TODAY()-MAX(I14:L14,N14,P14:S14,AA14,AC14))</f>
        <v/>
      </c>
      <c r="Y14" s="9" t="n"/>
      <c r="Z14" s="11">
        <f>IFERROR(IF(INDEX(Leads!$X:$X,MATCH($A14,Leads!$A:$A,0))="","",INDEX(Leads!$X:$X,MATCH($A14,Leads!$A:$A,0))),"")</f>
        <v/>
      </c>
      <c r="AA14" s="13" t="n"/>
      <c r="AB14" s="14">
        <f>IF(AA14="","",AA14+5)</f>
        <v/>
      </c>
      <c r="AC14" s="13" t="n"/>
    </row>
    <row r="15">
      <c r="A15" s="11" t="inlineStr">
        <is>
          <t>G014</t>
        </is>
      </c>
      <c r="B15" s="11">
        <f>IFERROR(INDEX(Leads!$D:$D,MATCH($A15,Leads!$A:$A,0)),"")</f>
        <v/>
      </c>
      <c r="C15" s="11">
        <f>IFERROR(INDEX(Leads!$F:$F,MATCH($A15,Leads!$A:$A,0)),"")</f>
        <v/>
      </c>
      <c r="D15" s="11">
        <f>IFERROR(INDEX(Leads!$G:$G,MATCH($A15,Leads!$A:$A,0)),"")</f>
        <v/>
      </c>
      <c r="E15" s="11">
        <f>IFERROR(INDEX(Leads!$R:$R,MATCH($A15,Leads!$A:$A,0)),"")</f>
        <v/>
      </c>
      <c r="F15" s="11">
        <f>IFERROR(INDEX(Leads!$N:$N,MATCH($A15,Leads!$A:$A,0)),"")</f>
        <v/>
      </c>
      <c r="G15" s="11">
        <f>IFERROR(INDEX(Leads!$J:$J,MATCH($A15,Leads!$A:$A,0)),"")</f>
        <v/>
      </c>
      <c r="H15" s="12" t="inlineStr">
        <is>
          <t>Not started</t>
        </is>
      </c>
      <c r="I15" s="13" t="n"/>
      <c r="J15" s="13" t="n"/>
      <c r="K15" s="13" t="n"/>
      <c r="L15" s="13" t="n"/>
      <c r="M15" s="14">
        <f>IF(L15="","",L15+4)</f>
        <v/>
      </c>
      <c r="N15" s="13" t="n"/>
      <c r="O15" s="14">
        <f>IF(N15="","",N15+6)</f>
        <v/>
      </c>
      <c r="P15" s="13" t="n"/>
      <c r="Q15" s="13" t="n"/>
      <c r="R15" s="13" t="n"/>
      <c r="S15" s="13" t="n"/>
      <c r="T15" s="12" t="n"/>
      <c r="U15" s="12" t="n"/>
      <c r="V15" s="9" t="n"/>
      <c r="W15" s="13" t="n"/>
      <c r="X15" s="11">
        <f>IF(MAX(I15:L15,N15,P15:S15,AA15,AC15)=0,"",TODAY()-MAX(I15:L15,N15,P15:S15,AA15,AC15))</f>
        <v/>
      </c>
      <c r="Y15" s="9" t="n"/>
      <c r="Z15" s="11">
        <f>IFERROR(IF(INDEX(Leads!$X:$X,MATCH($A15,Leads!$A:$A,0))="","",INDEX(Leads!$X:$X,MATCH($A15,Leads!$A:$A,0))),"")</f>
        <v/>
      </c>
      <c r="AA15" s="13" t="n"/>
      <c r="AB15" s="14">
        <f>IF(AA15="","",AA15+5)</f>
        <v/>
      </c>
      <c r="AC15" s="13" t="n"/>
    </row>
    <row r="16">
      <c r="A16" s="11" t="inlineStr">
        <is>
          <t>G015</t>
        </is>
      </c>
      <c r="B16" s="11">
        <f>IFERROR(INDEX(Leads!$D:$D,MATCH($A16,Leads!$A:$A,0)),"")</f>
        <v/>
      </c>
      <c r="C16" s="11">
        <f>IFERROR(INDEX(Leads!$F:$F,MATCH($A16,Leads!$A:$A,0)),"")</f>
        <v/>
      </c>
      <c r="D16" s="11">
        <f>IFERROR(INDEX(Leads!$G:$G,MATCH($A16,Leads!$A:$A,0)),"")</f>
        <v/>
      </c>
      <c r="E16" s="11">
        <f>IFERROR(INDEX(Leads!$R:$R,MATCH($A16,Leads!$A:$A,0)),"")</f>
        <v/>
      </c>
      <c r="F16" s="11">
        <f>IFERROR(INDEX(Leads!$N:$N,MATCH($A16,Leads!$A:$A,0)),"")</f>
        <v/>
      </c>
      <c r="G16" s="11">
        <f>IFERROR(INDEX(Leads!$J:$J,MATCH($A16,Leads!$A:$A,0)),"")</f>
        <v/>
      </c>
      <c r="H16" s="12" t="inlineStr">
        <is>
          <t>Not started</t>
        </is>
      </c>
      <c r="I16" s="13" t="n"/>
      <c r="J16" s="13" t="n"/>
      <c r="K16" s="13" t="n"/>
      <c r="L16" s="13" t="n"/>
      <c r="M16" s="14">
        <f>IF(L16="","",L16+4)</f>
        <v/>
      </c>
      <c r="N16" s="13" t="n"/>
      <c r="O16" s="14">
        <f>IF(N16="","",N16+6)</f>
        <v/>
      </c>
      <c r="P16" s="13" t="n"/>
      <c r="Q16" s="13" t="n"/>
      <c r="R16" s="13" t="n"/>
      <c r="S16" s="13" t="n"/>
      <c r="T16" s="12" t="n"/>
      <c r="U16" s="12" t="n"/>
      <c r="V16" s="9" t="n"/>
      <c r="W16" s="13" t="n"/>
      <c r="X16" s="11">
        <f>IF(MAX(I16:L16,N16,P16:S16,AA16,AC16)=0,"",TODAY()-MAX(I16:L16,N16,P16:S16,AA16,AC16))</f>
        <v/>
      </c>
      <c r="Y16" s="9" t="n"/>
      <c r="Z16" s="11">
        <f>IFERROR(IF(INDEX(Leads!$X:$X,MATCH($A16,Leads!$A:$A,0))="","",INDEX(Leads!$X:$X,MATCH($A16,Leads!$A:$A,0))),"")</f>
        <v/>
      </c>
      <c r="AA16" s="13" t="n"/>
      <c r="AB16" s="14">
        <f>IF(AA16="","",AA16+5)</f>
        <v/>
      </c>
      <c r="AC16" s="13" t="n"/>
    </row>
    <row r="17">
      <c r="A17" s="11" t="inlineStr">
        <is>
          <t>G016</t>
        </is>
      </c>
      <c r="B17" s="11">
        <f>IFERROR(INDEX(Leads!$D:$D,MATCH($A17,Leads!$A:$A,0)),"")</f>
        <v/>
      </c>
      <c r="C17" s="11">
        <f>IFERROR(INDEX(Leads!$F:$F,MATCH($A17,Leads!$A:$A,0)),"")</f>
        <v/>
      </c>
      <c r="D17" s="11">
        <f>IFERROR(INDEX(Leads!$G:$G,MATCH($A17,Leads!$A:$A,0)),"")</f>
        <v/>
      </c>
      <c r="E17" s="11">
        <f>IFERROR(INDEX(Leads!$R:$R,MATCH($A17,Leads!$A:$A,0)),"")</f>
        <v/>
      </c>
      <c r="F17" s="11">
        <f>IFERROR(INDEX(Leads!$N:$N,MATCH($A17,Leads!$A:$A,0)),"")</f>
        <v/>
      </c>
      <c r="G17" s="11">
        <f>IFERROR(INDEX(Leads!$J:$J,MATCH($A17,Leads!$A:$A,0)),"")</f>
        <v/>
      </c>
      <c r="H17" s="12" t="inlineStr">
        <is>
          <t>Not started</t>
        </is>
      </c>
      <c r="I17" s="13" t="n"/>
      <c r="J17" s="13" t="n"/>
      <c r="K17" s="13" t="n"/>
      <c r="L17" s="13" t="n"/>
      <c r="M17" s="14">
        <f>IF(L17="","",L17+4)</f>
        <v/>
      </c>
      <c r="N17" s="13" t="n"/>
      <c r="O17" s="14">
        <f>IF(N17="","",N17+6)</f>
        <v/>
      </c>
      <c r="P17" s="13" t="n"/>
      <c r="Q17" s="13" t="n"/>
      <c r="R17" s="13" t="n"/>
      <c r="S17" s="13" t="n"/>
      <c r="T17" s="12" t="n"/>
      <c r="U17" s="12" t="n"/>
      <c r="V17" s="9" t="n"/>
      <c r="W17" s="13" t="n"/>
      <c r="X17" s="11">
        <f>IF(MAX(I17:L17,N17,P17:S17,AA17,AC17)=0,"",TODAY()-MAX(I17:L17,N17,P17:S17,AA17,AC17))</f>
        <v/>
      </c>
      <c r="Y17" s="9" t="n"/>
      <c r="Z17" s="11">
        <f>IFERROR(IF(INDEX(Leads!$X:$X,MATCH($A17,Leads!$A:$A,0))="","",INDEX(Leads!$X:$X,MATCH($A17,Leads!$A:$A,0))),"")</f>
        <v/>
      </c>
      <c r="AA17" s="13" t="n"/>
      <c r="AB17" s="14">
        <f>IF(AA17="","",AA17+5)</f>
        <v/>
      </c>
      <c r="AC17" s="13" t="n"/>
    </row>
    <row r="18">
      <c r="A18" s="11" t="inlineStr">
        <is>
          <t>G017</t>
        </is>
      </c>
      <c r="B18" s="11">
        <f>IFERROR(INDEX(Leads!$D:$D,MATCH($A18,Leads!$A:$A,0)),"")</f>
        <v/>
      </c>
      <c r="C18" s="11">
        <f>IFERROR(INDEX(Leads!$F:$F,MATCH($A18,Leads!$A:$A,0)),"")</f>
        <v/>
      </c>
      <c r="D18" s="11">
        <f>IFERROR(INDEX(Leads!$G:$G,MATCH($A18,Leads!$A:$A,0)),"")</f>
        <v/>
      </c>
      <c r="E18" s="11">
        <f>IFERROR(INDEX(Leads!$R:$R,MATCH($A18,Leads!$A:$A,0)),"")</f>
        <v/>
      </c>
      <c r="F18" s="11">
        <f>IFERROR(INDEX(Leads!$N:$N,MATCH($A18,Leads!$A:$A,0)),"")</f>
        <v/>
      </c>
      <c r="G18" s="11">
        <f>IFERROR(INDEX(Leads!$J:$J,MATCH($A18,Leads!$A:$A,0)),"")</f>
        <v/>
      </c>
      <c r="H18" s="12" t="inlineStr">
        <is>
          <t>Not started</t>
        </is>
      </c>
      <c r="I18" s="13" t="n"/>
      <c r="J18" s="13" t="n"/>
      <c r="K18" s="13" t="n"/>
      <c r="L18" s="13" t="n"/>
      <c r="M18" s="14">
        <f>IF(L18="","",L18+4)</f>
        <v/>
      </c>
      <c r="N18" s="13" t="n"/>
      <c r="O18" s="14">
        <f>IF(N18="","",N18+6)</f>
        <v/>
      </c>
      <c r="P18" s="13" t="n"/>
      <c r="Q18" s="13" t="n"/>
      <c r="R18" s="13" t="n"/>
      <c r="S18" s="13" t="n"/>
      <c r="T18" s="12" t="n"/>
      <c r="U18" s="12" t="n"/>
      <c r="V18" s="9" t="n"/>
      <c r="W18" s="13" t="n"/>
      <c r="X18" s="11">
        <f>IF(MAX(I18:L18,N18,P18:S18,AA18,AC18)=0,"",TODAY()-MAX(I18:L18,N18,P18:S18,AA18,AC18))</f>
        <v/>
      </c>
      <c r="Y18" s="9" t="n"/>
      <c r="Z18" s="11">
        <f>IFERROR(IF(INDEX(Leads!$X:$X,MATCH($A18,Leads!$A:$A,0))="","",INDEX(Leads!$X:$X,MATCH($A18,Leads!$A:$A,0))),"")</f>
        <v/>
      </c>
      <c r="AA18" s="13" t="n"/>
      <c r="AB18" s="14">
        <f>IF(AA18="","",AA18+5)</f>
        <v/>
      </c>
      <c r="AC18" s="13" t="n"/>
    </row>
    <row r="19">
      <c r="A19" s="11" t="inlineStr">
        <is>
          <t>G018</t>
        </is>
      </c>
      <c r="B19" s="11">
        <f>IFERROR(INDEX(Leads!$D:$D,MATCH($A19,Leads!$A:$A,0)),"")</f>
        <v/>
      </c>
      <c r="C19" s="11">
        <f>IFERROR(INDEX(Leads!$F:$F,MATCH($A19,Leads!$A:$A,0)),"")</f>
        <v/>
      </c>
      <c r="D19" s="11">
        <f>IFERROR(INDEX(Leads!$G:$G,MATCH($A19,Leads!$A:$A,0)),"")</f>
        <v/>
      </c>
      <c r="E19" s="11">
        <f>IFERROR(INDEX(Leads!$R:$R,MATCH($A19,Leads!$A:$A,0)),"")</f>
        <v/>
      </c>
      <c r="F19" s="11">
        <f>IFERROR(INDEX(Leads!$N:$N,MATCH($A19,Leads!$A:$A,0)),"")</f>
        <v/>
      </c>
      <c r="G19" s="11">
        <f>IFERROR(INDEX(Leads!$J:$J,MATCH($A19,Leads!$A:$A,0)),"")</f>
        <v/>
      </c>
      <c r="H19" s="12" t="inlineStr">
        <is>
          <t>Not started</t>
        </is>
      </c>
      <c r="I19" s="13" t="n"/>
      <c r="J19" s="13" t="n"/>
      <c r="K19" s="13" t="n"/>
      <c r="L19" s="13" t="n"/>
      <c r="M19" s="14">
        <f>IF(L19="","",L19+4)</f>
        <v/>
      </c>
      <c r="N19" s="13" t="n"/>
      <c r="O19" s="14">
        <f>IF(N19="","",N19+6)</f>
        <v/>
      </c>
      <c r="P19" s="13" t="n"/>
      <c r="Q19" s="13" t="n"/>
      <c r="R19" s="13" t="n"/>
      <c r="S19" s="13" t="n"/>
      <c r="T19" s="12" t="n"/>
      <c r="U19" s="12" t="n"/>
      <c r="V19" s="9" t="n"/>
      <c r="W19" s="13" t="n"/>
      <c r="X19" s="11">
        <f>IF(MAX(I19:L19,N19,P19:S19,AA19,AC19)=0,"",TODAY()-MAX(I19:L19,N19,P19:S19,AA19,AC19))</f>
        <v/>
      </c>
      <c r="Y19" s="9" t="n"/>
      <c r="Z19" s="11">
        <f>IFERROR(IF(INDEX(Leads!$X:$X,MATCH($A19,Leads!$A:$A,0))="","",INDEX(Leads!$X:$X,MATCH($A19,Leads!$A:$A,0))),"")</f>
        <v/>
      </c>
      <c r="AA19" s="13" t="n"/>
      <c r="AB19" s="14">
        <f>IF(AA19="","",AA19+5)</f>
        <v/>
      </c>
      <c r="AC19" s="13" t="n"/>
    </row>
    <row r="20">
      <c r="A20" s="11" t="inlineStr">
        <is>
          <t>G019</t>
        </is>
      </c>
      <c r="B20" s="11">
        <f>IFERROR(INDEX(Leads!$D:$D,MATCH($A20,Leads!$A:$A,0)),"")</f>
        <v/>
      </c>
      <c r="C20" s="11">
        <f>IFERROR(INDEX(Leads!$F:$F,MATCH($A20,Leads!$A:$A,0)),"")</f>
        <v/>
      </c>
      <c r="D20" s="11">
        <f>IFERROR(INDEX(Leads!$G:$G,MATCH($A20,Leads!$A:$A,0)),"")</f>
        <v/>
      </c>
      <c r="E20" s="11">
        <f>IFERROR(INDEX(Leads!$R:$R,MATCH($A20,Leads!$A:$A,0)),"")</f>
        <v/>
      </c>
      <c r="F20" s="11">
        <f>IFERROR(INDEX(Leads!$N:$N,MATCH($A20,Leads!$A:$A,0)),"")</f>
        <v/>
      </c>
      <c r="G20" s="11">
        <f>IFERROR(INDEX(Leads!$J:$J,MATCH($A20,Leads!$A:$A,0)),"")</f>
        <v/>
      </c>
      <c r="H20" s="12" t="inlineStr">
        <is>
          <t>Not started</t>
        </is>
      </c>
      <c r="I20" s="13" t="n"/>
      <c r="J20" s="13" t="n"/>
      <c r="K20" s="13" t="n"/>
      <c r="L20" s="13" t="n"/>
      <c r="M20" s="14">
        <f>IF(L20="","",L20+4)</f>
        <v/>
      </c>
      <c r="N20" s="13" t="n"/>
      <c r="O20" s="14">
        <f>IF(N20="","",N20+6)</f>
        <v/>
      </c>
      <c r="P20" s="13" t="n"/>
      <c r="Q20" s="13" t="n"/>
      <c r="R20" s="13" t="n"/>
      <c r="S20" s="13" t="n"/>
      <c r="T20" s="12" t="n"/>
      <c r="U20" s="12" t="n"/>
      <c r="V20" s="9" t="n"/>
      <c r="W20" s="13" t="n"/>
      <c r="X20" s="11">
        <f>IF(MAX(I20:L20,N20,P20:S20,AA20,AC20)=0,"",TODAY()-MAX(I20:L20,N20,P20:S20,AA20,AC20))</f>
        <v/>
      </c>
      <c r="Y20" s="9" t="n"/>
      <c r="Z20" s="11">
        <f>IFERROR(IF(INDEX(Leads!$X:$X,MATCH($A20,Leads!$A:$A,0))="","",INDEX(Leads!$X:$X,MATCH($A20,Leads!$A:$A,0))),"")</f>
        <v/>
      </c>
      <c r="AA20" s="13" t="n"/>
      <c r="AB20" s="14">
        <f>IF(AA20="","",AA20+5)</f>
        <v/>
      </c>
      <c r="AC20" s="13" t="n"/>
    </row>
    <row r="21">
      <c r="A21" s="11" t="inlineStr">
        <is>
          <t>G020</t>
        </is>
      </c>
      <c r="B21" s="11">
        <f>IFERROR(INDEX(Leads!$D:$D,MATCH($A21,Leads!$A:$A,0)),"")</f>
        <v/>
      </c>
      <c r="C21" s="11">
        <f>IFERROR(INDEX(Leads!$F:$F,MATCH($A21,Leads!$A:$A,0)),"")</f>
        <v/>
      </c>
      <c r="D21" s="11">
        <f>IFERROR(INDEX(Leads!$G:$G,MATCH($A21,Leads!$A:$A,0)),"")</f>
        <v/>
      </c>
      <c r="E21" s="11">
        <f>IFERROR(INDEX(Leads!$R:$R,MATCH($A21,Leads!$A:$A,0)),"")</f>
        <v/>
      </c>
      <c r="F21" s="11">
        <f>IFERROR(INDEX(Leads!$N:$N,MATCH($A21,Leads!$A:$A,0)),"")</f>
        <v/>
      </c>
      <c r="G21" s="11">
        <f>IFERROR(INDEX(Leads!$J:$J,MATCH($A21,Leads!$A:$A,0)),"")</f>
        <v/>
      </c>
      <c r="H21" s="12" t="inlineStr">
        <is>
          <t>Not started</t>
        </is>
      </c>
      <c r="I21" s="13" t="n"/>
      <c r="J21" s="13" t="n"/>
      <c r="K21" s="13" t="n"/>
      <c r="L21" s="13" t="n"/>
      <c r="M21" s="14">
        <f>IF(L21="","",L21+4)</f>
        <v/>
      </c>
      <c r="N21" s="13" t="n"/>
      <c r="O21" s="14">
        <f>IF(N21="","",N21+6)</f>
        <v/>
      </c>
      <c r="P21" s="13" t="n"/>
      <c r="Q21" s="13" t="n"/>
      <c r="R21" s="13" t="n"/>
      <c r="S21" s="13" t="n"/>
      <c r="T21" s="12" t="n"/>
      <c r="U21" s="12" t="n"/>
      <c r="V21" s="9" t="n"/>
      <c r="W21" s="13" t="n"/>
      <c r="X21" s="11">
        <f>IF(MAX(I21:L21,N21,P21:S21,AA21,AC21)=0,"",TODAY()-MAX(I21:L21,N21,P21:S21,AA21,AC21))</f>
        <v/>
      </c>
      <c r="Y21" s="9" t="n"/>
      <c r="Z21" s="11">
        <f>IFERROR(IF(INDEX(Leads!$X:$X,MATCH($A21,Leads!$A:$A,0))="","",INDEX(Leads!$X:$X,MATCH($A21,Leads!$A:$A,0))),"")</f>
        <v/>
      </c>
      <c r="AA21" s="13" t="n"/>
      <c r="AB21" s="14">
        <f>IF(AA21="","",AA21+5)</f>
        <v/>
      </c>
      <c r="AC21" s="13" t="n"/>
    </row>
    <row r="22">
      <c r="A22" s="11" t="inlineStr">
        <is>
          <t>G021</t>
        </is>
      </c>
      <c r="B22" s="11">
        <f>IFERROR(INDEX(Leads!$D:$D,MATCH($A22,Leads!$A:$A,0)),"")</f>
        <v/>
      </c>
      <c r="C22" s="11">
        <f>IFERROR(INDEX(Leads!$F:$F,MATCH($A22,Leads!$A:$A,0)),"")</f>
        <v/>
      </c>
      <c r="D22" s="11">
        <f>IFERROR(INDEX(Leads!$G:$G,MATCH($A22,Leads!$A:$A,0)),"")</f>
        <v/>
      </c>
      <c r="E22" s="11">
        <f>IFERROR(INDEX(Leads!$R:$R,MATCH($A22,Leads!$A:$A,0)),"")</f>
        <v/>
      </c>
      <c r="F22" s="11">
        <f>IFERROR(INDEX(Leads!$N:$N,MATCH($A22,Leads!$A:$A,0)),"")</f>
        <v/>
      </c>
      <c r="G22" s="11">
        <f>IFERROR(INDEX(Leads!$J:$J,MATCH($A22,Leads!$A:$A,0)),"")</f>
        <v/>
      </c>
      <c r="H22" s="12" t="inlineStr">
        <is>
          <t>Not started</t>
        </is>
      </c>
      <c r="I22" s="13" t="n"/>
      <c r="J22" s="13" t="n"/>
      <c r="K22" s="13" t="n"/>
      <c r="L22" s="13" t="n"/>
      <c r="M22" s="14">
        <f>IF(L22="","",L22+4)</f>
        <v/>
      </c>
      <c r="N22" s="13" t="n"/>
      <c r="O22" s="14">
        <f>IF(N22="","",N22+6)</f>
        <v/>
      </c>
      <c r="P22" s="13" t="n"/>
      <c r="Q22" s="13" t="n"/>
      <c r="R22" s="13" t="n"/>
      <c r="S22" s="13" t="n"/>
      <c r="T22" s="12" t="n"/>
      <c r="U22" s="12" t="n"/>
      <c r="V22" s="9" t="n"/>
      <c r="W22" s="13" t="n"/>
      <c r="X22" s="11">
        <f>IF(MAX(I22:L22,N22,P22:S22,AA22,AC22)=0,"",TODAY()-MAX(I22:L22,N22,P22:S22,AA22,AC22))</f>
        <v/>
      </c>
      <c r="Y22" s="9" t="n"/>
      <c r="Z22" s="11">
        <f>IFERROR(IF(INDEX(Leads!$X:$X,MATCH($A22,Leads!$A:$A,0))="","",INDEX(Leads!$X:$X,MATCH($A22,Leads!$A:$A,0))),"")</f>
        <v/>
      </c>
      <c r="AA22" s="13" t="n"/>
      <c r="AB22" s="14">
        <f>IF(AA22="","",AA22+5)</f>
        <v/>
      </c>
      <c r="AC22" s="13" t="n"/>
    </row>
    <row r="23">
      <c r="A23" s="11" t="inlineStr">
        <is>
          <t>G022</t>
        </is>
      </c>
      <c r="B23" s="11">
        <f>IFERROR(INDEX(Leads!$D:$D,MATCH($A23,Leads!$A:$A,0)),"")</f>
        <v/>
      </c>
      <c r="C23" s="11">
        <f>IFERROR(INDEX(Leads!$F:$F,MATCH($A23,Leads!$A:$A,0)),"")</f>
        <v/>
      </c>
      <c r="D23" s="11">
        <f>IFERROR(INDEX(Leads!$G:$G,MATCH($A23,Leads!$A:$A,0)),"")</f>
        <v/>
      </c>
      <c r="E23" s="11">
        <f>IFERROR(INDEX(Leads!$R:$R,MATCH($A23,Leads!$A:$A,0)),"")</f>
        <v/>
      </c>
      <c r="F23" s="11">
        <f>IFERROR(INDEX(Leads!$N:$N,MATCH($A23,Leads!$A:$A,0)),"")</f>
        <v/>
      </c>
      <c r="G23" s="11">
        <f>IFERROR(INDEX(Leads!$J:$J,MATCH($A23,Leads!$A:$A,0)),"")</f>
        <v/>
      </c>
      <c r="H23" s="12" t="inlineStr">
        <is>
          <t>Not started</t>
        </is>
      </c>
      <c r="I23" s="13" t="n"/>
      <c r="J23" s="13" t="n"/>
      <c r="K23" s="13" t="n"/>
      <c r="L23" s="13" t="n"/>
      <c r="M23" s="14">
        <f>IF(L23="","",L23+4)</f>
        <v/>
      </c>
      <c r="N23" s="13" t="n"/>
      <c r="O23" s="14">
        <f>IF(N23="","",N23+6)</f>
        <v/>
      </c>
      <c r="P23" s="13" t="n"/>
      <c r="Q23" s="13" t="n"/>
      <c r="R23" s="13" t="n"/>
      <c r="S23" s="13" t="n"/>
      <c r="T23" s="12" t="n"/>
      <c r="U23" s="12" t="n"/>
      <c r="V23" s="9" t="n"/>
      <c r="W23" s="13" t="n"/>
      <c r="X23" s="11">
        <f>IF(MAX(I23:L23,N23,P23:S23,AA23,AC23)=0,"",TODAY()-MAX(I23:L23,N23,P23:S23,AA23,AC23))</f>
        <v/>
      </c>
      <c r="Y23" s="9" t="n"/>
      <c r="Z23" s="11">
        <f>IFERROR(IF(INDEX(Leads!$X:$X,MATCH($A23,Leads!$A:$A,0))="","",INDEX(Leads!$X:$X,MATCH($A23,Leads!$A:$A,0))),"")</f>
        <v/>
      </c>
      <c r="AA23" s="13" t="n"/>
      <c r="AB23" s="14">
        <f>IF(AA23="","",AA23+5)</f>
        <v/>
      </c>
      <c r="AC23" s="13" t="n"/>
    </row>
    <row r="24">
      <c r="A24" s="11" t="inlineStr">
        <is>
          <t>G023</t>
        </is>
      </c>
      <c r="B24" s="11">
        <f>IFERROR(INDEX(Leads!$D:$D,MATCH($A24,Leads!$A:$A,0)),"")</f>
        <v/>
      </c>
      <c r="C24" s="11">
        <f>IFERROR(INDEX(Leads!$F:$F,MATCH($A24,Leads!$A:$A,0)),"")</f>
        <v/>
      </c>
      <c r="D24" s="11">
        <f>IFERROR(INDEX(Leads!$G:$G,MATCH($A24,Leads!$A:$A,0)),"")</f>
        <v/>
      </c>
      <c r="E24" s="11">
        <f>IFERROR(INDEX(Leads!$R:$R,MATCH($A24,Leads!$A:$A,0)),"")</f>
        <v/>
      </c>
      <c r="F24" s="11">
        <f>IFERROR(INDEX(Leads!$N:$N,MATCH($A24,Leads!$A:$A,0)),"")</f>
        <v/>
      </c>
      <c r="G24" s="11">
        <f>IFERROR(INDEX(Leads!$J:$J,MATCH($A24,Leads!$A:$A,0)),"")</f>
        <v/>
      </c>
      <c r="H24" s="12" t="inlineStr">
        <is>
          <t>Not started</t>
        </is>
      </c>
      <c r="I24" s="13" t="n"/>
      <c r="J24" s="13" t="n"/>
      <c r="K24" s="13" t="n"/>
      <c r="L24" s="13" t="n"/>
      <c r="M24" s="14">
        <f>IF(L24="","",L24+4)</f>
        <v/>
      </c>
      <c r="N24" s="13" t="n"/>
      <c r="O24" s="14">
        <f>IF(N24="","",N24+6)</f>
        <v/>
      </c>
      <c r="P24" s="13" t="n"/>
      <c r="Q24" s="13" t="n"/>
      <c r="R24" s="13" t="n"/>
      <c r="S24" s="13" t="n"/>
      <c r="T24" s="12" t="n"/>
      <c r="U24" s="12" t="n"/>
      <c r="V24" s="9" t="n"/>
      <c r="W24" s="13" t="n"/>
      <c r="X24" s="11">
        <f>IF(MAX(I24:L24,N24,P24:S24,AA24,AC24)=0,"",TODAY()-MAX(I24:L24,N24,P24:S24,AA24,AC24))</f>
        <v/>
      </c>
      <c r="Y24" s="9" t="n"/>
      <c r="Z24" s="11">
        <f>IFERROR(IF(INDEX(Leads!$X:$X,MATCH($A24,Leads!$A:$A,0))="","",INDEX(Leads!$X:$X,MATCH($A24,Leads!$A:$A,0))),"")</f>
        <v/>
      </c>
      <c r="AA24" s="13" t="n"/>
      <c r="AB24" s="14">
        <f>IF(AA24="","",AA24+5)</f>
        <v/>
      </c>
      <c r="AC24" s="13" t="n"/>
    </row>
    <row r="25">
      <c r="A25" s="11" t="inlineStr">
        <is>
          <t>G024</t>
        </is>
      </c>
      <c r="B25" s="11">
        <f>IFERROR(INDEX(Leads!$D:$D,MATCH($A25,Leads!$A:$A,0)),"")</f>
        <v/>
      </c>
      <c r="C25" s="11">
        <f>IFERROR(INDEX(Leads!$F:$F,MATCH($A25,Leads!$A:$A,0)),"")</f>
        <v/>
      </c>
      <c r="D25" s="11">
        <f>IFERROR(INDEX(Leads!$G:$G,MATCH($A25,Leads!$A:$A,0)),"")</f>
        <v/>
      </c>
      <c r="E25" s="11">
        <f>IFERROR(INDEX(Leads!$R:$R,MATCH($A25,Leads!$A:$A,0)),"")</f>
        <v/>
      </c>
      <c r="F25" s="11">
        <f>IFERROR(INDEX(Leads!$N:$N,MATCH($A25,Leads!$A:$A,0)),"")</f>
        <v/>
      </c>
      <c r="G25" s="11">
        <f>IFERROR(INDEX(Leads!$J:$J,MATCH($A25,Leads!$A:$A,0)),"")</f>
        <v/>
      </c>
      <c r="H25" s="12" t="inlineStr">
        <is>
          <t>Not started</t>
        </is>
      </c>
      <c r="I25" s="13" t="n"/>
      <c r="J25" s="13" t="n"/>
      <c r="K25" s="13" t="n"/>
      <c r="L25" s="13" t="n"/>
      <c r="M25" s="14">
        <f>IF(L25="","",L25+4)</f>
        <v/>
      </c>
      <c r="N25" s="13" t="n"/>
      <c r="O25" s="14">
        <f>IF(N25="","",N25+6)</f>
        <v/>
      </c>
      <c r="P25" s="13" t="n"/>
      <c r="Q25" s="13" t="n"/>
      <c r="R25" s="13" t="n"/>
      <c r="S25" s="13" t="n"/>
      <c r="T25" s="12" t="n"/>
      <c r="U25" s="12" t="n"/>
      <c r="V25" s="9" t="n"/>
      <c r="W25" s="13" t="n"/>
      <c r="X25" s="11">
        <f>IF(MAX(I25:L25,N25,P25:S25,AA25,AC25)=0,"",TODAY()-MAX(I25:L25,N25,P25:S25,AA25,AC25))</f>
        <v/>
      </c>
      <c r="Y25" s="9" t="n"/>
      <c r="Z25" s="11">
        <f>IFERROR(IF(INDEX(Leads!$X:$X,MATCH($A25,Leads!$A:$A,0))="","",INDEX(Leads!$X:$X,MATCH($A25,Leads!$A:$A,0))),"")</f>
        <v/>
      </c>
      <c r="AA25" s="13" t="n"/>
      <c r="AB25" s="14">
        <f>IF(AA25="","",AA25+5)</f>
        <v/>
      </c>
      <c r="AC25" s="13" t="n"/>
    </row>
    <row r="26">
      <c r="A26" s="11" t="inlineStr">
        <is>
          <t>G025</t>
        </is>
      </c>
      <c r="B26" s="11">
        <f>IFERROR(INDEX(Leads!$D:$D,MATCH($A26,Leads!$A:$A,0)),"")</f>
        <v/>
      </c>
      <c r="C26" s="11">
        <f>IFERROR(INDEX(Leads!$F:$F,MATCH($A26,Leads!$A:$A,0)),"")</f>
        <v/>
      </c>
      <c r="D26" s="11">
        <f>IFERROR(INDEX(Leads!$G:$G,MATCH($A26,Leads!$A:$A,0)),"")</f>
        <v/>
      </c>
      <c r="E26" s="11">
        <f>IFERROR(INDEX(Leads!$R:$R,MATCH($A26,Leads!$A:$A,0)),"")</f>
        <v/>
      </c>
      <c r="F26" s="11">
        <f>IFERROR(INDEX(Leads!$N:$N,MATCH($A26,Leads!$A:$A,0)),"")</f>
        <v/>
      </c>
      <c r="G26" s="11">
        <f>IFERROR(INDEX(Leads!$J:$J,MATCH($A26,Leads!$A:$A,0)),"")</f>
        <v/>
      </c>
      <c r="H26" s="12" t="inlineStr">
        <is>
          <t>Not started</t>
        </is>
      </c>
      <c r="I26" s="13" t="n"/>
      <c r="J26" s="13" t="n"/>
      <c r="K26" s="13" t="n"/>
      <c r="L26" s="13" t="n"/>
      <c r="M26" s="14">
        <f>IF(L26="","",L26+4)</f>
        <v/>
      </c>
      <c r="N26" s="13" t="n"/>
      <c r="O26" s="14">
        <f>IF(N26="","",N26+6)</f>
        <v/>
      </c>
      <c r="P26" s="13" t="n"/>
      <c r="Q26" s="13" t="n"/>
      <c r="R26" s="13" t="n"/>
      <c r="S26" s="13" t="n"/>
      <c r="T26" s="12" t="n"/>
      <c r="U26" s="12" t="n"/>
      <c r="V26" s="9" t="n"/>
      <c r="W26" s="13" t="n"/>
      <c r="X26" s="11">
        <f>IF(MAX(I26:L26,N26,P26:S26,AA26,AC26)=0,"",TODAY()-MAX(I26:L26,N26,P26:S26,AA26,AC26))</f>
        <v/>
      </c>
      <c r="Y26" s="9" t="n"/>
      <c r="Z26" s="11">
        <f>IFERROR(IF(INDEX(Leads!$X:$X,MATCH($A26,Leads!$A:$A,0))="","",INDEX(Leads!$X:$X,MATCH($A26,Leads!$A:$A,0))),"")</f>
        <v/>
      </c>
      <c r="AA26" s="13" t="n"/>
      <c r="AB26" s="14">
        <f>IF(AA26="","",AA26+5)</f>
        <v/>
      </c>
      <c r="AC26" s="13" t="n"/>
    </row>
    <row r="27">
      <c r="A27" s="11" t="inlineStr">
        <is>
          <t>G026</t>
        </is>
      </c>
      <c r="B27" s="11">
        <f>IFERROR(INDEX(Leads!$D:$D,MATCH($A27,Leads!$A:$A,0)),"")</f>
        <v/>
      </c>
      <c r="C27" s="11">
        <f>IFERROR(INDEX(Leads!$F:$F,MATCH($A27,Leads!$A:$A,0)),"")</f>
        <v/>
      </c>
      <c r="D27" s="11">
        <f>IFERROR(INDEX(Leads!$G:$G,MATCH($A27,Leads!$A:$A,0)),"")</f>
        <v/>
      </c>
      <c r="E27" s="11">
        <f>IFERROR(INDEX(Leads!$R:$R,MATCH($A27,Leads!$A:$A,0)),"")</f>
        <v/>
      </c>
      <c r="F27" s="11">
        <f>IFERROR(INDEX(Leads!$N:$N,MATCH($A27,Leads!$A:$A,0)),"")</f>
        <v/>
      </c>
      <c r="G27" s="11">
        <f>IFERROR(INDEX(Leads!$J:$J,MATCH($A27,Leads!$A:$A,0)),"")</f>
        <v/>
      </c>
      <c r="H27" s="12" t="inlineStr">
        <is>
          <t>Not started</t>
        </is>
      </c>
      <c r="I27" s="13" t="n"/>
      <c r="J27" s="13" t="n"/>
      <c r="K27" s="13" t="n"/>
      <c r="L27" s="13" t="n"/>
      <c r="M27" s="14">
        <f>IF(L27="","",L27+4)</f>
        <v/>
      </c>
      <c r="N27" s="13" t="n"/>
      <c r="O27" s="14">
        <f>IF(N27="","",N27+6)</f>
        <v/>
      </c>
      <c r="P27" s="13" t="n"/>
      <c r="Q27" s="13" t="n"/>
      <c r="R27" s="13" t="n"/>
      <c r="S27" s="13" t="n"/>
      <c r="T27" s="12" t="n"/>
      <c r="U27" s="12" t="n"/>
      <c r="V27" s="9" t="n"/>
      <c r="W27" s="13" t="n"/>
      <c r="X27" s="11">
        <f>IF(MAX(I27:L27,N27,P27:S27,AA27,AC27)=0,"",TODAY()-MAX(I27:L27,N27,P27:S27,AA27,AC27))</f>
        <v/>
      </c>
      <c r="Y27" s="9" t="n"/>
      <c r="Z27" s="11">
        <f>IFERROR(IF(INDEX(Leads!$X:$X,MATCH($A27,Leads!$A:$A,0))="","",INDEX(Leads!$X:$X,MATCH($A27,Leads!$A:$A,0))),"")</f>
        <v/>
      </c>
      <c r="AA27" s="13" t="n"/>
      <c r="AB27" s="14">
        <f>IF(AA27="","",AA27+5)</f>
        <v/>
      </c>
      <c r="AC27" s="13" t="n"/>
    </row>
    <row r="28">
      <c r="A28" s="11" t="inlineStr">
        <is>
          <t>G027</t>
        </is>
      </c>
      <c r="B28" s="11">
        <f>IFERROR(INDEX(Leads!$D:$D,MATCH($A28,Leads!$A:$A,0)),"")</f>
        <v/>
      </c>
      <c r="C28" s="11">
        <f>IFERROR(INDEX(Leads!$F:$F,MATCH($A28,Leads!$A:$A,0)),"")</f>
        <v/>
      </c>
      <c r="D28" s="11">
        <f>IFERROR(INDEX(Leads!$G:$G,MATCH($A28,Leads!$A:$A,0)),"")</f>
        <v/>
      </c>
      <c r="E28" s="11">
        <f>IFERROR(INDEX(Leads!$R:$R,MATCH($A28,Leads!$A:$A,0)),"")</f>
        <v/>
      </c>
      <c r="F28" s="11">
        <f>IFERROR(INDEX(Leads!$N:$N,MATCH($A28,Leads!$A:$A,0)),"")</f>
        <v/>
      </c>
      <c r="G28" s="11">
        <f>IFERROR(INDEX(Leads!$J:$J,MATCH($A28,Leads!$A:$A,0)),"")</f>
        <v/>
      </c>
      <c r="H28" s="12" t="inlineStr">
        <is>
          <t>Not started</t>
        </is>
      </c>
      <c r="I28" s="13" t="n"/>
      <c r="J28" s="13" t="n"/>
      <c r="K28" s="13" t="n"/>
      <c r="L28" s="13" t="n"/>
      <c r="M28" s="14">
        <f>IF(L28="","",L28+4)</f>
        <v/>
      </c>
      <c r="N28" s="13" t="n"/>
      <c r="O28" s="14">
        <f>IF(N28="","",N28+6)</f>
        <v/>
      </c>
      <c r="P28" s="13" t="n"/>
      <c r="Q28" s="13" t="n"/>
      <c r="R28" s="13" t="n"/>
      <c r="S28" s="13" t="n"/>
      <c r="T28" s="12" t="n"/>
      <c r="U28" s="12" t="n"/>
      <c r="V28" s="9" t="n"/>
      <c r="W28" s="13" t="n"/>
      <c r="X28" s="11">
        <f>IF(MAX(I28:L28,N28,P28:S28,AA28,AC28)=0,"",TODAY()-MAX(I28:L28,N28,P28:S28,AA28,AC28))</f>
        <v/>
      </c>
      <c r="Y28" s="9" t="n"/>
      <c r="Z28" s="11">
        <f>IFERROR(IF(INDEX(Leads!$X:$X,MATCH($A28,Leads!$A:$A,0))="","",INDEX(Leads!$X:$X,MATCH($A28,Leads!$A:$A,0))),"")</f>
        <v/>
      </c>
      <c r="AA28" s="13" t="n"/>
      <c r="AB28" s="14">
        <f>IF(AA28="","",AA28+5)</f>
        <v/>
      </c>
      <c r="AC28" s="13" t="n"/>
    </row>
    <row r="29">
      <c r="A29" s="11" t="inlineStr">
        <is>
          <t>G028</t>
        </is>
      </c>
      <c r="B29" s="11">
        <f>IFERROR(INDEX(Leads!$D:$D,MATCH($A29,Leads!$A:$A,0)),"")</f>
        <v/>
      </c>
      <c r="C29" s="11">
        <f>IFERROR(INDEX(Leads!$F:$F,MATCH($A29,Leads!$A:$A,0)),"")</f>
        <v/>
      </c>
      <c r="D29" s="11">
        <f>IFERROR(INDEX(Leads!$G:$G,MATCH($A29,Leads!$A:$A,0)),"")</f>
        <v/>
      </c>
      <c r="E29" s="11">
        <f>IFERROR(INDEX(Leads!$R:$R,MATCH($A29,Leads!$A:$A,0)),"")</f>
        <v/>
      </c>
      <c r="F29" s="11">
        <f>IFERROR(INDEX(Leads!$N:$N,MATCH($A29,Leads!$A:$A,0)),"")</f>
        <v/>
      </c>
      <c r="G29" s="11">
        <f>IFERROR(INDEX(Leads!$J:$J,MATCH($A29,Leads!$A:$A,0)),"")</f>
        <v/>
      </c>
      <c r="H29" s="12" t="inlineStr">
        <is>
          <t>Not started</t>
        </is>
      </c>
      <c r="I29" s="13" t="n"/>
      <c r="J29" s="13" t="n"/>
      <c r="K29" s="13" t="n"/>
      <c r="L29" s="13" t="n"/>
      <c r="M29" s="14">
        <f>IF(L29="","",L29+4)</f>
        <v/>
      </c>
      <c r="N29" s="13" t="n"/>
      <c r="O29" s="14">
        <f>IF(N29="","",N29+6)</f>
        <v/>
      </c>
      <c r="P29" s="13" t="n"/>
      <c r="Q29" s="13" t="n"/>
      <c r="R29" s="13" t="n"/>
      <c r="S29" s="13" t="n"/>
      <c r="T29" s="12" t="n"/>
      <c r="U29" s="12" t="n"/>
      <c r="V29" s="9" t="n"/>
      <c r="W29" s="13" t="n"/>
      <c r="X29" s="11">
        <f>IF(MAX(I29:L29,N29,P29:S29,AA29,AC29)=0,"",TODAY()-MAX(I29:L29,N29,P29:S29,AA29,AC29))</f>
        <v/>
      </c>
      <c r="Y29" s="9" t="n"/>
      <c r="Z29" s="11">
        <f>IFERROR(IF(INDEX(Leads!$X:$X,MATCH($A29,Leads!$A:$A,0))="","",INDEX(Leads!$X:$X,MATCH($A29,Leads!$A:$A,0))),"")</f>
        <v/>
      </c>
      <c r="AA29" s="13" t="n"/>
      <c r="AB29" s="14">
        <f>IF(AA29="","",AA29+5)</f>
        <v/>
      </c>
      <c r="AC29" s="13" t="n"/>
    </row>
    <row r="30">
      <c r="A30" s="11" t="inlineStr">
        <is>
          <t>G029</t>
        </is>
      </c>
      <c r="B30" s="11">
        <f>IFERROR(INDEX(Leads!$D:$D,MATCH($A30,Leads!$A:$A,0)),"")</f>
        <v/>
      </c>
      <c r="C30" s="11">
        <f>IFERROR(INDEX(Leads!$F:$F,MATCH($A30,Leads!$A:$A,0)),"")</f>
        <v/>
      </c>
      <c r="D30" s="11">
        <f>IFERROR(INDEX(Leads!$G:$G,MATCH($A30,Leads!$A:$A,0)),"")</f>
        <v/>
      </c>
      <c r="E30" s="11">
        <f>IFERROR(INDEX(Leads!$R:$R,MATCH($A30,Leads!$A:$A,0)),"")</f>
        <v/>
      </c>
      <c r="F30" s="11">
        <f>IFERROR(INDEX(Leads!$N:$N,MATCH($A30,Leads!$A:$A,0)),"")</f>
        <v/>
      </c>
      <c r="G30" s="11">
        <f>IFERROR(INDEX(Leads!$J:$J,MATCH($A30,Leads!$A:$A,0)),"")</f>
        <v/>
      </c>
      <c r="H30" s="12" t="inlineStr">
        <is>
          <t>Not started</t>
        </is>
      </c>
      <c r="I30" s="13" t="n"/>
      <c r="J30" s="13" t="n"/>
      <c r="K30" s="13" t="n"/>
      <c r="L30" s="13" t="n"/>
      <c r="M30" s="14">
        <f>IF(L30="","",L30+4)</f>
        <v/>
      </c>
      <c r="N30" s="13" t="n"/>
      <c r="O30" s="14">
        <f>IF(N30="","",N30+6)</f>
        <v/>
      </c>
      <c r="P30" s="13" t="n"/>
      <c r="Q30" s="13" t="n"/>
      <c r="R30" s="13" t="n"/>
      <c r="S30" s="13" t="n"/>
      <c r="T30" s="12" t="n"/>
      <c r="U30" s="12" t="n"/>
      <c r="V30" s="9" t="n"/>
      <c r="W30" s="13" t="n"/>
      <c r="X30" s="11">
        <f>IF(MAX(I30:L30,N30,P30:S30,AA30,AC30)=0,"",TODAY()-MAX(I30:L30,N30,P30:S30,AA30,AC30))</f>
        <v/>
      </c>
      <c r="Y30" s="9" t="n"/>
      <c r="Z30" s="11">
        <f>IFERROR(IF(INDEX(Leads!$X:$X,MATCH($A30,Leads!$A:$A,0))="","",INDEX(Leads!$X:$X,MATCH($A30,Leads!$A:$A,0))),"")</f>
        <v/>
      </c>
      <c r="AA30" s="13" t="n"/>
      <c r="AB30" s="14">
        <f>IF(AA30="","",AA30+5)</f>
        <v/>
      </c>
      <c r="AC30" s="13" t="n"/>
    </row>
    <row r="31">
      <c r="A31" s="11" t="inlineStr">
        <is>
          <t>G030</t>
        </is>
      </c>
      <c r="B31" s="11">
        <f>IFERROR(INDEX(Leads!$D:$D,MATCH($A31,Leads!$A:$A,0)),"")</f>
        <v/>
      </c>
      <c r="C31" s="11">
        <f>IFERROR(INDEX(Leads!$F:$F,MATCH($A31,Leads!$A:$A,0)),"")</f>
        <v/>
      </c>
      <c r="D31" s="11">
        <f>IFERROR(INDEX(Leads!$G:$G,MATCH($A31,Leads!$A:$A,0)),"")</f>
        <v/>
      </c>
      <c r="E31" s="11">
        <f>IFERROR(INDEX(Leads!$R:$R,MATCH($A31,Leads!$A:$A,0)),"")</f>
        <v/>
      </c>
      <c r="F31" s="11">
        <f>IFERROR(INDEX(Leads!$N:$N,MATCH($A31,Leads!$A:$A,0)),"")</f>
        <v/>
      </c>
      <c r="G31" s="11">
        <f>IFERROR(INDEX(Leads!$J:$J,MATCH($A31,Leads!$A:$A,0)),"")</f>
        <v/>
      </c>
      <c r="H31" s="12" t="inlineStr">
        <is>
          <t>Not started</t>
        </is>
      </c>
      <c r="I31" s="13" t="n"/>
      <c r="J31" s="13" t="n"/>
      <c r="K31" s="13" t="n"/>
      <c r="L31" s="13" t="n"/>
      <c r="M31" s="14">
        <f>IF(L31="","",L31+4)</f>
        <v/>
      </c>
      <c r="N31" s="13" t="n"/>
      <c r="O31" s="14">
        <f>IF(N31="","",N31+6)</f>
        <v/>
      </c>
      <c r="P31" s="13" t="n"/>
      <c r="Q31" s="13" t="n"/>
      <c r="R31" s="13" t="n"/>
      <c r="S31" s="13" t="n"/>
      <c r="T31" s="12" t="n"/>
      <c r="U31" s="12" t="n"/>
      <c r="V31" s="9" t="n"/>
      <c r="W31" s="13" t="n"/>
      <c r="X31" s="11">
        <f>IF(MAX(I31:L31,N31,P31:S31,AA31,AC31)=0,"",TODAY()-MAX(I31:L31,N31,P31:S31,AA31,AC31))</f>
        <v/>
      </c>
      <c r="Y31" s="9" t="n"/>
      <c r="Z31" s="11">
        <f>IFERROR(IF(INDEX(Leads!$X:$X,MATCH($A31,Leads!$A:$A,0))="","",INDEX(Leads!$X:$X,MATCH($A31,Leads!$A:$A,0))),"")</f>
        <v/>
      </c>
      <c r="AA31" s="13" t="n"/>
      <c r="AB31" s="14">
        <f>IF(AA31="","",AA31+5)</f>
        <v/>
      </c>
      <c r="AC31" s="13" t="n"/>
    </row>
    <row r="32">
      <c r="A32" s="11" t="inlineStr">
        <is>
          <t>G031</t>
        </is>
      </c>
      <c r="B32" s="11">
        <f>IFERROR(INDEX(Leads!$D:$D,MATCH($A32,Leads!$A:$A,0)),"")</f>
        <v/>
      </c>
      <c r="C32" s="11">
        <f>IFERROR(INDEX(Leads!$F:$F,MATCH($A32,Leads!$A:$A,0)),"")</f>
        <v/>
      </c>
      <c r="D32" s="11">
        <f>IFERROR(INDEX(Leads!$G:$G,MATCH($A32,Leads!$A:$A,0)),"")</f>
        <v/>
      </c>
      <c r="E32" s="11">
        <f>IFERROR(INDEX(Leads!$R:$R,MATCH($A32,Leads!$A:$A,0)),"")</f>
        <v/>
      </c>
      <c r="F32" s="11">
        <f>IFERROR(INDEX(Leads!$N:$N,MATCH($A32,Leads!$A:$A,0)),"")</f>
        <v/>
      </c>
      <c r="G32" s="11">
        <f>IFERROR(INDEX(Leads!$J:$J,MATCH($A32,Leads!$A:$A,0)),"")</f>
        <v/>
      </c>
      <c r="H32" s="12" t="inlineStr">
        <is>
          <t>Not started</t>
        </is>
      </c>
      <c r="I32" s="13" t="n"/>
      <c r="J32" s="13" t="n"/>
      <c r="K32" s="13" t="n"/>
      <c r="L32" s="13" t="n"/>
      <c r="M32" s="14">
        <f>IF(L32="","",L32+4)</f>
        <v/>
      </c>
      <c r="N32" s="13" t="n"/>
      <c r="O32" s="14">
        <f>IF(N32="","",N32+6)</f>
        <v/>
      </c>
      <c r="P32" s="13" t="n"/>
      <c r="Q32" s="13" t="n"/>
      <c r="R32" s="13" t="n"/>
      <c r="S32" s="13" t="n"/>
      <c r="T32" s="12" t="n"/>
      <c r="U32" s="12" t="n"/>
      <c r="V32" s="9" t="n"/>
      <c r="W32" s="13" t="n"/>
      <c r="X32" s="11">
        <f>IF(MAX(I32:L32,N32,P32:S32,AA32,AC32)=0,"",TODAY()-MAX(I32:L32,N32,P32:S32,AA32,AC32))</f>
        <v/>
      </c>
      <c r="Y32" s="9" t="n"/>
      <c r="Z32" s="11">
        <f>IFERROR(IF(INDEX(Leads!$X:$X,MATCH($A32,Leads!$A:$A,0))="","",INDEX(Leads!$X:$X,MATCH($A32,Leads!$A:$A,0))),"")</f>
        <v/>
      </c>
      <c r="AA32" s="13" t="n"/>
      <c r="AB32" s="14">
        <f>IF(AA32="","",AA32+5)</f>
        <v/>
      </c>
      <c r="AC32" s="13" t="n"/>
    </row>
    <row r="33">
      <c r="A33" s="11" t="inlineStr">
        <is>
          <t>G032</t>
        </is>
      </c>
      <c r="B33" s="11">
        <f>IFERROR(INDEX(Leads!$D:$D,MATCH($A33,Leads!$A:$A,0)),"")</f>
        <v/>
      </c>
      <c r="C33" s="11">
        <f>IFERROR(INDEX(Leads!$F:$F,MATCH($A33,Leads!$A:$A,0)),"")</f>
        <v/>
      </c>
      <c r="D33" s="11">
        <f>IFERROR(INDEX(Leads!$G:$G,MATCH($A33,Leads!$A:$A,0)),"")</f>
        <v/>
      </c>
      <c r="E33" s="11">
        <f>IFERROR(INDEX(Leads!$R:$R,MATCH($A33,Leads!$A:$A,0)),"")</f>
        <v/>
      </c>
      <c r="F33" s="11">
        <f>IFERROR(INDEX(Leads!$N:$N,MATCH($A33,Leads!$A:$A,0)),"")</f>
        <v/>
      </c>
      <c r="G33" s="11">
        <f>IFERROR(INDEX(Leads!$J:$J,MATCH($A33,Leads!$A:$A,0)),"")</f>
        <v/>
      </c>
      <c r="H33" s="12" t="inlineStr">
        <is>
          <t>Not started</t>
        </is>
      </c>
      <c r="I33" s="13" t="n"/>
      <c r="J33" s="13" t="n"/>
      <c r="K33" s="13" t="n"/>
      <c r="L33" s="13" t="n"/>
      <c r="M33" s="14">
        <f>IF(L33="","",L33+4)</f>
        <v/>
      </c>
      <c r="N33" s="13" t="n"/>
      <c r="O33" s="14">
        <f>IF(N33="","",N33+6)</f>
        <v/>
      </c>
      <c r="P33" s="13" t="n"/>
      <c r="Q33" s="13" t="n"/>
      <c r="R33" s="13" t="n"/>
      <c r="S33" s="13" t="n"/>
      <c r="T33" s="12" t="n"/>
      <c r="U33" s="12" t="n"/>
      <c r="V33" s="9" t="n"/>
      <c r="W33" s="13" t="n"/>
      <c r="X33" s="11">
        <f>IF(MAX(I33:L33,N33,P33:S33,AA33,AC33)=0,"",TODAY()-MAX(I33:L33,N33,P33:S33,AA33,AC33))</f>
        <v/>
      </c>
      <c r="Y33" s="9" t="n"/>
      <c r="Z33" s="11">
        <f>IFERROR(IF(INDEX(Leads!$X:$X,MATCH($A33,Leads!$A:$A,0))="","",INDEX(Leads!$X:$X,MATCH($A33,Leads!$A:$A,0))),"")</f>
        <v/>
      </c>
      <c r="AA33" s="13" t="n"/>
      <c r="AB33" s="14">
        <f>IF(AA33="","",AA33+5)</f>
        <v/>
      </c>
      <c r="AC33" s="13" t="n"/>
    </row>
    <row r="34">
      <c r="A34" s="11" t="inlineStr">
        <is>
          <t>G033</t>
        </is>
      </c>
      <c r="B34" s="11">
        <f>IFERROR(INDEX(Leads!$D:$D,MATCH($A34,Leads!$A:$A,0)),"")</f>
        <v/>
      </c>
      <c r="C34" s="11">
        <f>IFERROR(INDEX(Leads!$F:$F,MATCH($A34,Leads!$A:$A,0)),"")</f>
        <v/>
      </c>
      <c r="D34" s="11">
        <f>IFERROR(INDEX(Leads!$G:$G,MATCH($A34,Leads!$A:$A,0)),"")</f>
        <v/>
      </c>
      <c r="E34" s="11">
        <f>IFERROR(INDEX(Leads!$R:$R,MATCH($A34,Leads!$A:$A,0)),"")</f>
        <v/>
      </c>
      <c r="F34" s="11">
        <f>IFERROR(INDEX(Leads!$N:$N,MATCH($A34,Leads!$A:$A,0)),"")</f>
        <v/>
      </c>
      <c r="G34" s="11">
        <f>IFERROR(INDEX(Leads!$J:$J,MATCH($A34,Leads!$A:$A,0)),"")</f>
        <v/>
      </c>
      <c r="H34" s="12" t="inlineStr">
        <is>
          <t>Not started</t>
        </is>
      </c>
      <c r="I34" s="13" t="n"/>
      <c r="J34" s="13" t="n"/>
      <c r="K34" s="13" t="n"/>
      <c r="L34" s="13" t="n"/>
      <c r="M34" s="14">
        <f>IF(L34="","",L34+4)</f>
        <v/>
      </c>
      <c r="N34" s="13" t="n"/>
      <c r="O34" s="14">
        <f>IF(N34="","",N34+6)</f>
        <v/>
      </c>
      <c r="P34" s="13" t="n"/>
      <c r="Q34" s="13" t="n"/>
      <c r="R34" s="13" t="n"/>
      <c r="S34" s="13" t="n"/>
      <c r="T34" s="12" t="n"/>
      <c r="U34" s="12" t="n"/>
      <c r="V34" s="9" t="n"/>
      <c r="W34" s="13" t="n"/>
      <c r="X34" s="11">
        <f>IF(MAX(I34:L34,N34,P34:S34,AA34,AC34)=0,"",TODAY()-MAX(I34:L34,N34,P34:S34,AA34,AC34))</f>
        <v/>
      </c>
      <c r="Y34" s="9" t="n"/>
      <c r="Z34" s="11">
        <f>IFERROR(IF(INDEX(Leads!$X:$X,MATCH($A34,Leads!$A:$A,0))="","",INDEX(Leads!$X:$X,MATCH($A34,Leads!$A:$A,0))),"")</f>
        <v/>
      </c>
      <c r="AA34" s="13" t="n"/>
      <c r="AB34" s="14">
        <f>IF(AA34="","",AA34+5)</f>
        <v/>
      </c>
      <c r="AC34" s="13" t="n"/>
    </row>
    <row r="35">
      <c r="A35" s="11" t="inlineStr">
        <is>
          <t>G034</t>
        </is>
      </c>
      <c r="B35" s="11">
        <f>IFERROR(INDEX(Leads!$D:$D,MATCH($A35,Leads!$A:$A,0)),"")</f>
        <v/>
      </c>
      <c r="C35" s="11">
        <f>IFERROR(INDEX(Leads!$F:$F,MATCH($A35,Leads!$A:$A,0)),"")</f>
        <v/>
      </c>
      <c r="D35" s="11">
        <f>IFERROR(INDEX(Leads!$G:$G,MATCH($A35,Leads!$A:$A,0)),"")</f>
        <v/>
      </c>
      <c r="E35" s="11">
        <f>IFERROR(INDEX(Leads!$R:$R,MATCH($A35,Leads!$A:$A,0)),"")</f>
        <v/>
      </c>
      <c r="F35" s="11">
        <f>IFERROR(INDEX(Leads!$N:$N,MATCH($A35,Leads!$A:$A,0)),"")</f>
        <v/>
      </c>
      <c r="G35" s="11">
        <f>IFERROR(INDEX(Leads!$J:$J,MATCH($A35,Leads!$A:$A,0)),"")</f>
        <v/>
      </c>
      <c r="H35" s="12" t="inlineStr">
        <is>
          <t>Not started</t>
        </is>
      </c>
      <c r="I35" s="13" t="n"/>
      <c r="J35" s="13" t="n"/>
      <c r="K35" s="13" t="n"/>
      <c r="L35" s="13" t="n"/>
      <c r="M35" s="14">
        <f>IF(L35="","",L35+4)</f>
        <v/>
      </c>
      <c r="N35" s="13" t="n"/>
      <c r="O35" s="14">
        <f>IF(N35="","",N35+6)</f>
        <v/>
      </c>
      <c r="P35" s="13" t="n"/>
      <c r="Q35" s="13" t="n"/>
      <c r="R35" s="13" t="n"/>
      <c r="S35" s="13" t="n"/>
      <c r="T35" s="12" t="n"/>
      <c r="U35" s="12" t="n"/>
      <c r="V35" s="9" t="n"/>
      <c r="W35" s="13" t="n"/>
      <c r="X35" s="11">
        <f>IF(MAX(I35:L35,N35,P35:S35,AA35,AC35)=0,"",TODAY()-MAX(I35:L35,N35,P35:S35,AA35,AC35))</f>
        <v/>
      </c>
      <c r="Y35" s="9" t="n"/>
      <c r="Z35" s="11">
        <f>IFERROR(IF(INDEX(Leads!$X:$X,MATCH($A35,Leads!$A:$A,0))="","",INDEX(Leads!$X:$X,MATCH($A35,Leads!$A:$A,0))),"")</f>
        <v/>
      </c>
      <c r="AA35" s="13" t="n"/>
      <c r="AB35" s="14">
        <f>IF(AA35="","",AA35+5)</f>
        <v/>
      </c>
      <c r="AC35" s="13" t="n"/>
    </row>
    <row r="36">
      <c r="A36" s="11" t="inlineStr">
        <is>
          <t>G035</t>
        </is>
      </c>
      <c r="B36" s="11">
        <f>IFERROR(INDEX(Leads!$D:$D,MATCH($A36,Leads!$A:$A,0)),"")</f>
        <v/>
      </c>
      <c r="C36" s="11">
        <f>IFERROR(INDEX(Leads!$F:$F,MATCH($A36,Leads!$A:$A,0)),"")</f>
        <v/>
      </c>
      <c r="D36" s="11">
        <f>IFERROR(INDEX(Leads!$G:$G,MATCH($A36,Leads!$A:$A,0)),"")</f>
        <v/>
      </c>
      <c r="E36" s="11">
        <f>IFERROR(INDEX(Leads!$R:$R,MATCH($A36,Leads!$A:$A,0)),"")</f>
        <v/>
      </c>
      <c r="F36" s="11">
        <f>IFERROR(INDEX(Leads!$N:$N,MATCH($A36,Leads!$A:$A,0)),"")</f>
        <v/>
      </c>
      <c r="G36" s="11">
        <f>IFERROR(INDEX(Leads!$J:$J,MATCH($A36,Leads!$A:$A,0)),"")</f>
        <v/>
      </c>
      <c r="H36" s="12" t="inlineStr">
        <is>
          <t>Not started</t>
        </is>
      </c>
      <c r="I36" s="13" t="n"/>
      <c r="J36" s="13" t="n"/>
      <c r="K36" s="13" t="n"/>
      <c r="L36" s="13" t="n"/>
      <c r="M36" s="14">
        <f>IF(L36="","",L36+4)</f>
        <v/>
      </c>
      <c r="N36" s="13" t="n"/>
      <c r="O36" s="14">
        <f>IF(N36="","",N36+6)</f>
        <v/>
      </c>
      <c r="P36" s="13" t="n"/>
      <c r="Q36" s="13" t="n"/>
      <c r="R36" s="13" t="n"/>
      <c r="S36" s="13" t="n"/>
      <c r="T36" s="12" t="n"/>
      <c r="U36" s="12" t="n"/>
      <c r="V36" s="9" t="n"/>
      <c r="W36" s="13" t="n"/>
      <c r="X36" s="11">
        <f>IF(MAX(I36:L36,N36,P36:S36,AA36,AC36)=0,"",TODAY()-MAX(I36:L36,N36,P36:S36,AA36,AC36))</f>
        <v/>
      </c>
      <c r="Y36" s="9" t="n"/>
      <c r="Z36" s="11">
        <f>IFERROR(IF(INDEX(Leads!$X:$X,MATCH($A36,Leads!$A:$A,0))="","",INDEX(Leads!$X:$X,MATCH($A36,Leads!$A:$A,0))),"")</f>
        <v/>
      </c>
      <c r="AA36" s="13" t="n"/>
      <c r="AB36" s="14">
        <f>IF(AA36="","",AA36+5)</f>
        <v/>
      </c>
      <c r="AC36" s="13" t="n"/>
    </row>
    <row r="37">
      <c r="A37" s="11" t="inlineStr">
        <is>
          <t>G036</t>
        </is>
      </c>
      <c r="B37" s="11">
        <f>IFERROR(INDEX(Leads!$D:$D,MATCH($A37,Leads!$A:$A,0)),"")</f>
        <v/>
      </c>
      <c r="C37" s="11">
        <f>IFERROR(INDEX(Leads!$F:$F,MATCH($A37,Leads!$A:$A,0)),"")</f>
        <v/>
      </c>
      <c r="D37" s="11">
        <f>IFERROR(INDEX(Leads!$G:$G,MATCH($A37,Leads!$A:$A,0)),"")</f>
        <v/>
      </c>
      <c r="E37" s="11">
        <f>IFERROR(INDEX(Leads!$R:$R,MATCH($A37,Leads!$A:$A,0)),"")</f>
        <v/>
      </c>
      <c r="F37" s="11">
        <f>IFERROR(INDEX(Leads!$N:$N,MATCH($A37,Leads!$A:$A,0)),"")</f>
        <v/>
      </c>
      <c r="G37" s="11">
        <f>IFERROR(INDEX(Leads!$J:$J,MATCH($A37,Leads!$A:$A,0)),"")</f>
        <v/>
      </c>
      <c r="H37" s="12" t="inlineStr">
        <is>
          <t>Not started</t>
        </is>
      </c>
      <c r="I37" s="13" t="n"/>
      <c r="J37" s="13" t="n"/>
      <c r="K37" s="13" t="n"/>
      <c r="L37" s="13" t="n"/>
      <c r="M37" s="14">
        <f>IF(L37="","",L37+4)</f>
        <v/>
      </c>
      <c r="N37" s="13" t="n"/>
      <c r="O37" s="14">
        <f>IF(N37="","",N37+6)</f>
        <v/>
      </c>
      <c r="P37" s="13" t="n"/>
      <c r="Q37" s="13" t="n"/>
      <c r="R37" s="13" t="n"/>
      <c r="S37" s="13" t="n"/>
      <c r="T37" s="12" t="n"/>
      <c r="U37" s="12" t="n"/>
      <c r="V37" s="9" t="n"/>
      <c r="W37" s="13" t="n"/>
      <c r="X37" s="11">
        <f>IF(MAX(I37:L37,N37,P37:S37,AA37,AC37)=0,"",TODAY()-MAX(I37:L37,N37,P37:S37,AA37,AC37))</f>
        <v/>
      </c>
      <c r="Y37" s="9" t="n"/>
      <c r="Z37" s="11">
        <f>IFERROR(IF(INDEX(Leads!$X:$X,MATCH($A37,Leads!$A:$A,0))="","",INDEX(Leads!$X:$X,MATCH($A37,Leads!$A:$A,0))),"")</f>
        <v/>
      </c>
      <c r="AA37" s="13" t="n"/>
      <c r="AB37" s="14">
        <f>IF(AA37="","",AA37+5)</f>
        <v/>
      </c>
      <c r="AC37" s="13" t="n"/>
    </row>
    <row r="38">
      <c r="A38" s="11" t="inlineStr">
        <is>
          <t>G037</t>
        </is>
      </c>
      <c r="B38" s="11">
        <f>IFERROR(INDEX(Leads!$D:$D,MATCH($A38,Leads!$A:$A,0)),"")</f>
        <v/>
      </c>
      <c r="C38" s="11">
        <f>IFERROR(INDEX(Leads!$F:$F,MATCH($A38,Leads!$A:$A,0)),"")</f>
        <v/>
      </c>
      <c r="D38" s="11">
        <f>IFERROR(INDEX(Leads!$G:$G,MATCH($A38,Leads!$A:$A,0)),"")</f>
        <v/>
      </c>
      <c r="E38" s="11">
        <f>IFERROR(INDEX(Leads!$R:$R,MATCH($A38,Leads!$A:$A,0)),"")</f>
        <v/>
      </c>
      <c r="F38" s="11">
        <f>IFERROR(INDEX(Leads!$N:$N,MATCH($A38,Leads!$A:$A,0)),"")</f>
        <v/>
      </c>
      <c r="G38" s="11">
        <f>IFERROR(INDEX(Leads!$J:$J,MATCH($A38,Leads!$A:$A,0)),"")</f>
        <v/>
      </c>
      <c r="H38" s="12" t="inlineStr">
        <is>
          <t>Not started</t>
        </is>
      </c>
      <c r="I38" s="13" t="n"/>
      <c r="J38" s="13" t="n"/>
      <c r="K38" s="13" t="n"/>
      <c r="L38" s="13" t="n"/>
      <c r="M38" s="14">
        <f>IF(L38="","",L38+4)</f>
        <v/>
      </c>
      <c r="N38" s="13" t="n"/>
      <c r="O38" s="14">
        <f>IF(N38="","",N38+6)</f>
        <v/>
      </c>
      <c r="P38" s="13" t="n"/>
      <c r="Q38" s="13" t="n"/>
      <c r="R38" s="13" t="n"/>
      <c r="S38" s="13" t="n"/>
      <c r="T38" s="12" t="n"/>
      <c r="U38" s="12" t="n"/>
      <c r="V38" s="9" t="n"/>
      <c r="W38" s="13" t="n"/>
      <c r="X38" s="11">
        <f>IF(MAX(I38:L38,N38,P38:S38,AA38,AC38)=0,"",TODAY()-MAX(I38:L38,N38,P38:S38,AA38,AC38))</f>
        <v/>
      </c>
      <c r="Y38" s="9" t="n"/>
      <c r="Z38" s="11">
        <f>IFERROR(IF(INDEX(Leads!$X:$X,MATCH($A38,Leads!$A:$A,0))="","",INDEX(Leads!$X:$X,MATCH($A38,Leads!$A:$A,0))),"")</f>
        <v/>
      </c>
      <c r="AA38" s="13" t="n"/>
      <c r="AB38" s="14">
        <f>IF(AA38="","",AA38+5)</f>
        <v/>
      </c>
      <c r="AC38" s="13" t="n"/>
    </row>
    <row r="39">
      <c r="A39" s="11" t="inlineStr">
        <is>
          <t>G038</t>
        </is>
      </c>
      <c r="B39" s="11">
        <f>IFERROR(INDEX(Leads!$D:$D,MATCH($A39,Leads!$A:$A,0)),"")</f>
        <v/>
      </c>
      <c r="C39" s="11">
        <f>IFERROR(INDEX(Leads!$F:$F,MATCH($A39,Leads!$A:$A,0)),"")</f>
        <v/>
      </c>
      <c r="D39" s="11">
        <f>IFERROR(INDEX(Leads!$G:$G,MATCH($A39,Leads!$A:$A,0)),"")</f>
        <v/>
      </c>
      <c r="E39" s="11">
        <f>IFERROR(INDEX(Leads!$R:$R,MATCH($A39,Leads!$A:$A,0)),"")</f>
        <v/>
      </c>
      <c r="F39" s="11">
        <f>IFERROR(INDEX(Leads!$N:$N,MATCH($A39,Leads!$A:$A,0)),"")</f>
        <v/>
      </c>
      <c r="G39" s="11">
        <f>IFERROR(INDEX(Leads!$J:$J,MATCH($A39,Leads!$A:$A,0)),"")</f>
        <v/>
      </c>
      <c r="H39" s="12" t="inlineStr">
        <is>
          <t>Not started</t>
        </is>
      </c>
      <c r="I39" s="13" t="n"/>
      <c r="J39" s="13" t="n"/>
      <c r="K39" s="13" t="n"/>
      <c r="L39" s="13" t="n"/>
      <c r="M39" s="14">
        <f>IF(L39="","",L39+4)</f>
        <v/>
      </c>
      <c r="N39" s="13" t="n"/>
      <c r="O39" s="14">
        <f>IF(N39="","",N39+6)</f>
        <v/>
      </c>
      <c r="P39" s="13" t="n"/>
      <c r="Q39" s="13" t="n"/>
      <c r="R39" s="13" t="n"/>
      <c r="S39" s="13" t="n"/>
      <c r="T39" s="12" t="n"/>
      <c r="U39" s="12" t="n"/>
      <c r="V39" s="9" t="n"/>
      <c r="W39" s="13" t="n"/>
      <c r="X39" s="11">
        <f>IF(MAX(I39:L39,N39,P39:S39,AA39,AC39)=0,"",TODAY()-MAX(I39:L39,N39,P39:S39,AA39,AC39))</f>
        <v/>
      </c>
      <c r="Y39" s="9" t="n"/>
      <c r="Z39" s="11">
        <f>IFERROR(IF(INDEX(Leads!$X:$X,MATCH($A39,Leads!$A:$A,0))="","",INDEX(Leads!$X:$X,MATCH($A39,Leads!$A:$A,0))),"")</f>
        <v/>
      </c>
      <c r="AA39" s="13" t="n"/>
      <c r="AB39" s="14">
        <f>IF(AA39="","",AA39+5)</f>
        <v/>
      </c>
      <c r="AC39" s="13" t="n"/>
    </row>
    <row r="40">
      <c r="A40" s="11" t="inlineStr">
        <is>
          <t>G039</t>
        </is>
      </c>
      <c r="B40" s="11">
        <f>IFERROR(INDEX(Leads!$D:$D,MATCH($A40,Leads!$A:$A,0)),"")</f>
        <v/>
      </c>
      <c r="C40" s="11">
        <f>IFERROR(INDEX(Leads!$F:$F,MATCH($A40,Leads!$A:$A,0)),"")</f>
        <v/>
      </c>
      <c r="D40" s="11">
        <f>IFERROR(INDEX(Leads!$G:$G,MATCH($A40,Leads!$A:$A,0)),"")</f>
        <v/>
      </c>
      <c r="E40" s="11">
        <f>IFERROR(INDEX(Leads!$R:$R,MATCH($A40,Leads!$A:$A,0)),"")</f>
        <v/>
      </c>
      <c r="F40" s="11">
        <f>IFERROR(INDEX(Leads!$N:$N,MATCH($A40,Leads!$A:$A,0)),"")</f>
        <v/>
      </c>
      <c r="G40" s="11">
        <f>IFERROR(INDEX(Leads!$J:$J,MATCH($A40,Leads!$A:$A,0)),"")</f>
        <v/>
      </c>
      <c r="H40" s="12" t="inlineStr">
        <is>
          <t>Not started</t>
        </is>
      </c>
      <c r="I40" s="13" t="n"/>
      <c r="J40" s="13" t="n"/>
      <c r="K40" s="13" t="n"/>
      <c r="L40" s="13" t="n"/>
      <c r="M40" s="14">
        <f>IF(L40="","",L40+4)</f>
        <v/>
      </c>
      <c r="N40" s="13" t="n"/>
      <c r="O40" s="14">
        <f>IF(N40="","",N40+6)</f>
        <v/>
      </c>
      <c r="P40" s="13" t="n"/>
      <c r="Q40" s="13" t="n"/>
      <c r="R40" s="13" t="n"/>
      <c r="S40" s="13" t="n"/>
      <c r="T40" s="12" t="n"/>
      <c r="U40" s="12" t="n"/>
      <c r="V40" s="9" t="n"/>
      <c r="W40" s="13" t="n"/>
      <c r="X40" s="11">
        <f>IF(MAX(I40:L40,N40,P40:S40,AA40,AC40)=0,"",TODAY()-MAX(I40:L40,N40,P40:S40,AA40,AC40))</f>
        <v/>
      </c>
      <c r="Y40" s="9" t="n"/>
      <c r="Z40" s="11">
        <f>IFERROR(IF(INDEX(Leads!$X:$X,MATCH($A40,Leads!$A:$A,0))="","",INDEX(Leads!$X:$X,MATCH($A40,Leads!$A:$A,0))),"")</f>
        <v/>
      </c>
      <c r="AA40" s="13" t="n"/>
      <c r="AB40" s="14">
        <f>IF(AA40="","",AA40+5)</f>
        <v/>
      </c>
      <c r="AC40" s="13" t="n"/>
    </row>
    <row r="41">
      <c r="A41" s="11" t="inlineStr">
        <is>
          <t>G040</t>
        </is>
      </c>
      <c r="B41" s="11">
        <f>IFERROR(INDEX(Leads!$D:$D,MATCH($A41,Leads!$A:$A,0)),"")</f>
        <v/>
      </c>
      <c r="C41" s="11">
        <f>IFERROR(INDEX(Leads!$F:$F,MATCH($A41,Leads!$A:$A,0)),"")</f>
        <v/>
      </c>
      <c r="D41" s="11">
        <f>IFERROR(INDEX(Leads!$G:$G,MATCH($A41,Leads!$A:$A,0)),"")</f>
        <v/>
      </c>
      <c r="E41" s="11">
        <f>IFERROR(INDEX(Leads!$R:$R,MATCH($A41,Leads!$A:$A,0)),"")</f>
        <v/>
      </c>
      <c r="F41" s="11">
        <f>IFERROR(INDEX(Leads!$N:$N,MATCH($A41,Leads!$A:$A,0)),"")</f>
        <v/>
      </c>
      <c r="G41" s="11">
        <f>IFERROR(INDEX(Leads!$J:$J,MATCH($A41,Leads!$A:$A,0)),"")</f>
        <v/>
      </c>
      <c r="H41" s="12" t="inlineStr">
        <is>
          <t>Not started</t>
        </is>
      </c>
      <c r="I41" s="13" t="n"/>
      <c r="J41" s="13" t="n"/>
      <c r="K41" s="13" t="n"/>
      <c r="L41" s="13" t="n"/>
      <c r="M41" s="14">
        <f>IF(L41="","",L41+4)</f>
        <v/>
      </c>
      <c r="N41" s="13" t="n"/>
      <c r="O41" s="14">
        <f>IF(N41="","",N41+6)</f>
        <v/>
      </c>
      <c r="P41" s="13" t="n"/>
      <c r="Q41" s="13" t="n"/>
      <c r="R41" s="13" t="n"/>
      <c r="S41" s="13" t="n"/>
      <c r="T41" s="12" t="n"/>
      <c r="U41" s="12" t="n"/>
      <c r="V41" s="9" t="n"/>
      <c r="W41" s="13" t="n"/>
      <c r="X41" s="11">
        <f>IF(MAX(I41:L41,N41,P41:S41,AA41,AC41)=0,"",TODAY()-MAX(I41:L41,N41,P41:S41,AA41,AC41))</f>
        <v/>
      </c>
      <c r="Y41" s="9" t="n"/>
      <c r="Z41" s="11">
        <f>IFERROR(IF(INDEX(Leads!$X:$X,MATCH($A41,Leads!$A:$A,0))="","",INDEX(Leads!$X:$X,MATCH($A41,Leads!$A:$A,0))),"")</f>
        <v/>
      </c>
      <c r="AA41" s="13" t="n"/>
      <c r="AB41" s="14">
        <f>IF(AA41="","",AA41+5)</f>
        <v/>
      </c>
      <c r="AC41" s="13" t="n"/>
    </row>
    <row r="42">
      <c r="A42" s="11" t="inlineStr">
        <is>
          <t>G041</t>
        </is>
      </c>
      <c r="B42" s="11">
        <f>IFERROR(INDEX(Leads!$D:$D,MATCH($A42,Leads!$A:$A,0)),"")</f>
        <v/>
      </c>
      <c r="C42" s="11">
        <f>IFERROR(INDEX(Leads!$F:$F,MATCH($A42,Leads!$A:$A,0)),"")</f>
        <v/>
      </c>
      <c r="D42" s="11">
        <f>IFERROR(INDEX(Leads!$G:$G,MATCH($A42,Leads!$A:$A,0)),"")</f>
        <v/>
      </c>
      <c r="E42" s="11">
        <f>IFERROR(INDEX(Leads!$R:$R,MATCH($A42,Leads!$A:$A,0)),"")</f>
        <v/>
      </c>
      <c r="F42" s="11">
        <f>IFERROR(INDEX(Leads!$N:$N,MATCH($A42,Leads!$A:$A,0)),"")</f>
        <v/>
      </c>
      <c r="G42" s="11">
        <f>IFERROR(INDEX(Leads!$J:$J,MATCH($A42,Leads!$A:$A,0)),"")</f>
        <v/>
      </c>
      <c r="H42" s="12" t="inlineStr">
        <is>
          <t>Not started</t>
        </is>
      </c>
      <c r="I42" s="13" t="n"/>
      <c r="J42" s="13" t="n"/>
      <c r="K42" s="13" t="n"/>
      <c r="L42" s="13" t="n"/>
      <c r="M42" s="14">
        <f>IF(L42="","",L42+4)</f>
        <v/>
      </c>
      <c r="N42" s="13" t="n"/>
      <c r="O42" s="14">
        <f>IF(N42="","",N42+6)</f>
        <v/>
      </c>
      <c r="P42" s="13" t="n"/>
      <c r="Q42" s="13" t="n"/>
      <c r="R42" s="13" t="n"/>
      <c r="S42" s="13" t="n"/>
      <c r="T42" s="12" t="n"/>
      <c r="U42" s="12" t="n"/>
      <c r="V42" s="9" t="n"/>
      <c r="W42" s="13" t="n"/>
      <c r="X42" s="11">
        <f>IF(MAX(I42:L42,N42,P42:S42,AA42,AC42)=0,"",TODAY()-MAX(I42:L42,N42,P42:S42,AA42,AC42))</f>
        <v/>
      </c>
      <c r="Y42" s="9" t="n"/>
      <c r="Z42" s="11">
        <f>IFERROR(IF(INDEX(Leads!$X:$X,MATCH($A42,Leads!$A:$A,0))="","",INDEX(Leads!$X:$X,MATCH($A42,Leads!$A:$A,0))),"")</f>
        <v/>
      </c>
      <c r="AA42" s="13" t="n"/>
      <c r="AB42" s="14">
        <f>IF(AA42="","",AA42+5)</f>
        <v/>
      </c>
      <c r="AC42" s="13" t="n"/>
    </row>
    <row r="43">
      <c r="A43" s="11" t="inlineStr">
        <is>
          <t>G042</t>
        </is>
      </c>
      <c r="B43" s="11">
        <f>IFERROR(INDEX(Leads!$D:$D,MATCH($A43,Leads!$A:$A,0)),"")</f>
        <v/>
      </c>
      <c r="C43" s="11">
        <f>IFERROR(INDEX(Leads!$F:$F,MATCH($A43,Leads!$A:$A,0)),"")</f>
        <v/>
      </c>
      <c r="D43" s="11">
        <f>IFERROR(INDEX(Leads!$G:$G,MATCH($A43,Leads!$A:$A,0)),"")</f>
        <v/>
      </c>
      <c r="E43" s="11">
        <f>IFERROR(INDEX(Leads!$R:$R,MATCH($A43,Leads!$A:$A,0)),"")</f>
        <v/>
      </c>
      <c r="F43" s="11">
        <f>IFERROR(INDEX(Leads!$N:$N,MATCH($A43,Leads!$A:$A,0)),"")</f>
        <v/>
      </c>
      <c r="G43" s="11">
        <f>IFERROR(INDEX(Leads!$J:$J,MATCH($A43,Leads!$A:$A,0)),"")</f>
        <v/>
      </c>
      <c r="H43" s="12" t="inlineStr">
        <is>
          <t>Not started</t>
        </is>
      </c>
      <c r="I43" s="13" t="n"/>
      <c r="J43" s="13" t="n"/>
      <c r="K43" s="13" t="n"/>
      <c r="L43" s="13" t="n"/>
      <c r="M43" s="14">
        <f>IF(L43="","",L43+4)</f>
        <v/>
      </c>
      <c r="N43" s="13" t="n"/>
      <c r="O43" s="14">
        <f>IF(N43="","",N43+6)</f>
        <v/>
      </c>
      <c r="P43" s="13" t="n"/>
      <c r="Q43" s="13" t="n"/>
      <c r="R43" s="13" t="n"/>
      <c r="S43" s="13" t="n"/>
      <c r="T43" s="12" t="n"/>
      <c r="U43" s="12" t="n"/>
      <c r="V43" s="9" t="n"/>
      <c r="W43" s="13" t="n"/>
      <c r="X43" s="11">
        <f>IF(MAX(I43:L43,N43,P43:S43,AA43,AC43)=0,"",TODAY()-MAX(I43:L43,N43,P43:S43,AA43,AC43))</f>
        <v/>
      </c>
      <c r="Y43" s="9" t="n"/>
      <c r="Z43" s="11">
        <f>IFERROR(IF(INDEX(Leads!$X:$X,MATCH($A43,Leads!$A:$A,0))="","",INDEX(Leads!$X:$X,MATCH($A43,Leads!$A:$A,0))),"")</f>
        <v/>
      </c>
      <c r="AA43" s="13" t="n"/>
      <c r="AB43" s="14">
        <f>IF(AA43="","",AA43+5)</f>
        <v/>
      </c>
      <c r="AC43" s="13" t="n"/>
    </row>
    <row r="44">
      <c r="A44" s="11" t="inlineStr">
        <is>
          <t>G043</t>
        </is>
      </c>
      <c r="B44" s="11">
        <f>IFERROR(INDEX(Leads!$D:$D,MATCH($A44,Leads!$A:$A,0)),"")</f>
        <v/>
      </c>
      <c r="C44" s="11">
        <f>IFERROR(INDEX(Leads!$F:$F,MATCH($A44,Leads!$A:$A,0)),"")</f>
        <v/>
      </c>
      <c r="D44" s="11">
        <f>IFERROR(INDEX(Leads!$G:$G,MATCH($A44,Leads!$A:$A,0)),"")</f>
        <v/>
      </c>
      <c r="E44" s="11">
        <f>IFERROR(INDEX(Leads!$R:$R,MATCH($A44,Leads!$A:$A,0)),"")</f>
        <v/>
      </c>
      <c r="F44" s="11">
        <f>IFERROR(INDEX(Leads!$N:$N,MATCH($A44,Leads!$A:$A,0)),"")</f>
        <v/>
      </c>
      <c r="G44" s="11">
        <f>IFERROR(INDEX(Leads!$J:$J,MATCH($A44,Leads!$A:$A,0)),"")</f>
        <v/>
      </c>
      <c r="H44" s="12" t="inlineStr">
        <is>
          <t>Not started</t>
        </is>
      </c>
      <c r="I44" s="13" t="n"/>
      <c r="J44" s="13" t="n"/>
      <c r="K44" s="13" t="n"/>
      <c r="L44" s="13" t="n"/>
      <c r="M44" s="14">
        <f>IF(L44="","",L44+4)</f>
        <v/>
      </c>
      <c r="N44" s="13" t="n"/>
      <c r="O44" s="14">
        <f>IF(N44="","",N44+6)</f>
        <v/>
      </c>
      <c r="P44" s="13" t="n"/>
      <c r="Q44" s="13" t="n"/>
      <c r="R44" s="13" t="n"/>
      <c r="S44" s="13" t="n"/>
      <c r="T44" s="12" t="n"/>
      <c r="U44" s="12" t="n"/>
      <c r="V44" s="9" t="n"/>
      <c r="W44" s="13" t="n"/>
      <c r="X44" s="11">
        <f>IF(MAX(I44:L44,N44,P44:S44,AA44,AC44)=0,"",TODAY()-MAX(I44:L44,N44,P44:S44,AA44,AC44))</f>
        <v/>
      </c>
      <c r="Y44" s="9" t="n"/>
      <c r="Z44" s="11">
        <f>IFERROR(IF(INDEX(Leads!$X:$X,MATCH($A44,Leads!$A:$A,0))="","",INDEX(Leads!$X:$X,MATCH($A44,Leads!$A:$A,0))),"")</f>
        <v/>
      </c>
      <c r="AA44" s="13" t="n"/>
      <c r="AB44" s="14">
        <f>IF(AA44="","",AA44+5)</f>
        <v/>
      </c>
      <c r="AC44" s="13" t="n"/>
    </row>
    <row r="45">
      <c r="A45" s="11" t="inlineStr">
        <is>
          <t>G044</t>
        </is>
      </c>
      <c r="B45" s="11">
        <f>IFERROR(INDEX(Leads!$D:$D,MATCH($A45,Leads!$A:$A,0)),"")</f>
        <v/>
      </c>
      <c r="C45" s="11">
        <f>IFERROR(INDEX(Leads!$F:$F,MATCH($A45,Leads!$A:$A,0)),"")</f>
        <v/>
      </c>
      <c r="D45" s="11">
        <f>IFERROR(INDEX(Leads!$G:$G,MATCH($A45,Leads!$A:$A,0)),"")</f>
        <v/>
      </c>
      <c r="E45" s="11">
        <f>IFERROR(INDEX(Leads!$R:$R,MATCH($A45,Leads!$A:$A,0)),"")</f>
        <v/>
      </c>
      <c r="F45" s="11">
        <f>IFERROR(INDEX(Leads!$N:$N,MATCH($A45,Leads!$A:$A,0)),"")</f>
        <v/>
      </c>
      <c r="G45" s="11">
        <f>IFERROR(INDEX(Leads!$J:$J,MATCH($A45,Leads!$A:$A,0)),"")</f>
        <v/>
      </c>
      <c r="H45" s="12" t="inlineStr">
        <is>
          <t>Not started</t>
        </is>
      </c>
      <c r="I45" s="13" t="n"/>
      <c r="J45" s="13" t="n"/>
      <c r="K45" s="13" t="n"/>
      <c r="L45" s="13" t="n"/>
      <c r="M45" s="14">
        <f>IF(L45="","",L45+4)</f>
        <v/>
      </c>
      <c r="N45" s="13" t="n"/>
      <c r="O45" s="14">
        <f>IF(N45="","",N45+6)</f>
        <v/>
      </c>
      <c r="P45" s="13" t="n"/>
      <c r="Q45" s="13" t="n"/>
      <c r="R45" s="13" t="n"/>
      <c r="S45" s="13" t="n"/>
      <c r="T45" s="12" t="n"/>
      <c r="U45" s="12" t="n"/>
      <c r="V45" s="9" t="n"/>
      <c r="W45" s="13" t="n"/>
      <c r="X45" s="11">
        <f>IF(MAX(I45:L45,N45,P45:S45,AA45,AC45)=0,"",TODAY()-MAX(I45:L45,N45,P45:S45,AA45,AC45))</f>
        <v/>
      </c>
      <c r="Y45" s="9" t="n"/>
      <c r="Z45" s="11">
        <f>IFERROR(IF(INDEX(Leads!$X:$X,MATCH($A45,Leads!$A:$A,0))="","",INDEX(Leads!$X:$X,MATCH($A45,Leads!$A:$A,0))),"")</f>
        <v/>
      </c>
      <c r="AA45" s="13" t="n"/>
      <c r="AB45" s="14">
        <f>IF(AA45="","",AA45+5)</f>
        <v/>
      </c>
      <c r="AC45" s="13" t="n"/>
    </row>
    <row r="46">
      <c r="A46" s="11" t="inlineStr">
        <is>
          <t>G045</t>
        </is>
      </c>
      <c r="B46" s="11">
        <f>IFERROR(INDEX(Leads!$D:$D,MATCH($A46,Leads!$A:$A,0)),"")</f>
        <v/>
      </c>
      <c r="C46" s="11">
        <f>IFERROR(INDEX(Leads!$F:$F,MATCH($A46,Leads!$A:$A,0)),"")</f>
        <v/>
      </c>
      <c r="D46" s="11">
        <f>IFERROR(INDEX(Leads!$G:$G,MATCH($A46,Leads!$A:$A,0)),"")</f>
        <v/>
      </c>
      <c r="E46" s="11">
        <f>IFERROR(INDEX(Leads!$R:$R,MATCH($A46,Leads!$A:$A,0)),"")</f>
        <v/>
      </c>
      <c r="F46" s="11">
        <f>IFERROR(INDEX(Leads!$N:$N,MATCH($A46,Leads!$A:$A,0)),"")</f>
        <v/>
      </c>
      <c r="G46" s="11">
        <f>IFERROR(INDEX(Leads!$J:$J,MATCH($A46,Leads!$A:$A,0)),"")</f>
        <v/>
      </c>
      <c r="H46" s="12" t="inlineStr">
        <is>
          <t>Not started</t>
        </is>
      </c>
      <c r="I46" s="13" t="n"/>
      <c r="J46" s="13" t="n"/>
      <c r="K46" s="13" t="n"/>
      <c r="L46" s="13" t="n"/>
      <c r="M46" s="14">
        <f>IF(L46="","",L46+4)</f>
        <v/>
      </c>
      <c r="N46" s="13" t="n"/>
      <c r="O46" s="14">
        <f>IF(N46="","",N46+6)</f>
        <v/>
      </c>
      <c r="P46" s="13" t="n"/>
      <c r="Q46" s="13" t="n"/>
      <c r="R46" s="13" t="n"/>
      <c r="S46" s="13" t="n"/>
      <c r="T46" s="12" t="n"/>
      <c r="U46" s="12" t="n"/>
      <c r="V46" s="9" t="n"/>
      <c r="W46" s="13" t="n"/>
      <c r="X46" s="11">
        <f>IF(MAX(I46:L46,N46,P46:S46,AA46,AC46)=0,"",TODAY()-MAX(I46:L46,N46,P46:S46,AA46,AC46))</f>
        <v/>
      </c>
      <c r="Y46" s="9" t="n"/>
      <c r="Z46" s="11">
        <f>IFERROR(IF(INDEX(Leads!$X:$X,MATCH($A46,Leads!$A:$A,0))="","",INDEX(Leads!$X:$X,MATCH($A46,Leads!$A:$A,0))),"")</f>
        <v/>
      </c>
      <c r="AA46" s="13" t="n"/>
      <c r="AB46" s="14">
        <f>IF(AA46="","",AA46+5)</f>
        <v/>
      </c>
      <c r="AC46" s="13" t="n"/>
    </row>
    <row r="47">
      <c r="A47" s="11" t="inlineStr">
        <is>
          <t>G046</t>
        </is>
      </c>
      <c r="B47" s="11">
        <f>IFERROR(INDEX(Leads!$D:$D,MATCH($A47,Leads!$A:$A,0)),"")</f>
        <v/>
      </c>
      <c r="C47" s="11">
        <f>IFERROR(INDEX(Leads!$F:$F,MATCH($A47,Leads!$A:$A,0)),"")</f>
        <v/>
      </c>
      <c r="D47" s="11">
        <f>IFERROR(INDEX(Leads!$G:$G,MATCH($A47,Leads!$A:$A,0)),"")</f>
        <v/>
      </c>
      <c r="E47" s="11">
        <f>IFERROR(INDEX(Leads!$R:$R,MATCH($A47,Leads!$A:$A,0)),"")</f>
        <v/>
      </c>
      <c r="F47" s="11">
        <f>IFERROR(INDEX(Leads!$N:$N,MATCH($A47,Leads!$A:$A,0)),"")</f>
        <v/>
      </c>
      <c r="G47" s="11">
        <f>IFERROR(INDEX(Leads!$J:$J,MATCH($A47,Leads!$A:$A,0)),"")</f>
        <v/>
      </c>
      <c r="H47" s="12" t="inlineStr">
        <is>
          <t>Not started</t>
        </is>
      </c>
      <c r="I47" s="13" t="n"/>
      <c r="J47" s="13" t="n"/>
      <c r="K47" s="13" t="n"/>
      <c r="L47" s="13" t="n"/>
      <c r="M47" s="14">
        <f>IF(L47="","",L47+4)</f>
        <v/>
      </c>
      <c r="N47" s="13" t="n"/>
      <c r="O47" s="14">
        <f>IF(N47="","",N47+6)</f>
        <v/>
      </c>
      <c r="P47" s="13" t="n"/>
      <c r="Q47" s="13" t="n"/>
      <c r="R47" s="13" t="n"/>
      <c r="S47" s="13" t="n"/>
      <c r="T47" s="12" t="n"/>
      <c r="U47" s="12" t="n"/>
      <c r="V47" s="9" t="n"/>
      <c r="W47" s="13" t="n"/>
      <c r="X47" s="11">
        <f>IF(MAX(I47:L47,N47,P47:S47,AA47,AC47)=0,"",TODAY()-MAX(I47:L47,N47,P47:S47,AA47,AC47))</f>
        <v/>
      </c>
      <c r="Y47" s="9" t="n"/>
      <c r="Z47" s="11">
        <f>IFERROR(IF(INDEX(Leads!$X:$X,MATCH($A47,Leads!$A:$A,0))="","",INDEX(Leads!$X:$X,MATCH($A47,Leads!$A:$A,0))),"")</f>
        <v/>
      </c>
      <c r="AA47" s="13" t="n"/>
      <c r="AB47" s="14">
        <f>IF(AA47="","",AA47+5)</f>
        <v/>
      </c>
      <c r="AC47" s="13" t="n"/>
    </row>
    <row r="48">
      <c r="A48" s="11" t="inlineStr">
        <is>
          <t>G047</t>
        </is>
      </c>
      <c r="B48" s="11">
        <f>IFERROR(INDEX(Leads!$D:$D,MATCH($A48,Leads!$A:$A,0)),"")</f>
        <v/>
      </c>
      <c r="C48" s="11">
        <f>IFERROR(INDEX(Leads!$F:$F,MATCH($A48,Leads!$A:$A,0)),"")</f>
        <v/>
      </c>
      <c r="D48" s="11">
        <f>IFERROR(INDEX(Leads!$G:$G,MATCH($A48,Leads!$A:$A,0)),"")</f>
        <v/>
      </c>
      <c r="E48" s="11">
        <f>IFERROR(INDEX(Leads!$R:$R,MATCH($A48,Leads!$A:$A,0)),"")</f>
        <v/>
      </c>
      <c r="F48" s="11">
        <f>IFERROR(INDEX(Leads!$N:$N,MATCH($A48,Leads!$A:$A,0)),"")</f>
        <v/>
      </c>
      <c r="G48" s="11">
        <f>IFERROR(INDEX(Leads!$J:$J,MATCH($A48,Leads!$A:$A,0)),"")</f>
        <v/>
      </c>
      <c r="H48" s="12" t="inlineStr">
        <is>
          <t>Nurture</t>
        </is>
      </c>
      <c r="I48" s="13" t="n"/>
      <c r="J48" s="13" t="n"/>
      <c r="K48" s="13" t="n"/>
      <c r="L48" s="13" t="n"/>
      <c r="M48" s="14">
        <f>IF(L48="","",L48+4)</f>
        <v/>
      </c>
      <c r="N48" s="13" t="n"/>
      <c r="O48" s="14">
        <f>IF(N48="","",N48+6)</f>
        <v/>
      </c>
      <c r="P48" s="13" t="n"/>
      <c r="Q48" s="13" t="n"/>
      <c r="R48" s="13" t="n"/>
      <c r="S48" s="13" t="n"/>
      <c r="T48" s="12" t="n"/>
      <c r="U48" s="12" t="n"/>
      <c r="V48" s="9" t="n"/>
      <c r="W48" s="13" t="n"/>
      <c r="X48" s="11">
        <f>IF(MAX(I48:L48,N48,P48:S48,AA48,AC48)=0,"",TODAY()-MAX(I48:L48,N48,P48:S48,AA48,AC48))</f>
        <v/>
      </c>
      <c r="Y48" s="9" t="n"/>
      <c r="Z48" s="11">
        <f>IFERROR(IF(INDEX(Leads!$X:$X,MATCH($A48,Leads!$A:$A,0))="","",INDEX(Leads!$X:$X,MATCH($A48,Leads!$A:$A,0))),"")</f>
        <v/>
      </c>
      <c r="AA48" s="13" t="n"/>
      <c r="AB48" s="14">
        <f>IF(AA48="","",AA48+5)</f>
        <v/>
      </c>
      <c r="AC48" s="13" t="n"/>
    </row>
    <row r="49">
      <c r="A49" s="11" t="inlineStr">
        <is>
          <t>G048</t>
        </is>
      </c>
      <c r="B49" s="11">
        <f>IFERROR(INDEX(Leads!$D:$D,MATCH($A49,Leads!$A:$A,0)),"")</f>
        <v/>
      </c>
      <c r="C49" s="11">
        <f>IFERROR(INDEX(Leads!$F:$F,MATCH($A49,Leads!$A:$A,0)),"")</f>
        <v/>
      </c>
      <c r="D49" s="11">
        <f>IFERROR(INDEX(Leads!$G:$G,MATCH($A49,Leads!$A:$A,0)),"")</f>
        <v/>
      </c>
      <c r="E49" s="11">
        <f>IFERROR(INDEX(Leads!$R:$R,MATCH($A49,Leads!$A:$A,0)),"")</f>
        <v/>
      </c>
      <c r="F49" s="11">
        <f>IFERROR(INDEX(Leads!$N:$N,MATCH($A49,Leads!$A:$A,0)),"")</f>
        <v/>
      </c>
      <c r="G49" s="11">
        <f>IFERROR(INDEX(Leads!$J:$J,MATCH($A49,Leads!$A:$A,0)),"")</f>
        <v/>
      </c>
      <c r="H49" s="12" t="inlineStr">
        <is>
          <t>Not started</t>
        </is>
      </c>
      <c r="I49" s="13" t="n"/>
      <c r="J49" s="13" t="n"/>
      <c r="K49" s="13" t="n"/>
      <c r="L49" s="13" t="n"/>
      <c r="M49" s="14">
        <f>IF(L49="","",L49+4)</f>
        <v/>
      </c>
      <c r="N49" s="13" t="n"/>
      <c r="O49" s="14">
        <f>IF(N49="","",N49+6)</f>
        <v/>
      </c>
      <c r="P49" s="13" t="n"/>
      <c r="Q49" s="13" t="n"/>
      <c r="R49" s="13" t="n"/>
      <c r="S49" s="13" t="n"/>
      <c r="T49" s="12" t="n"/>
      <c r="U49" s="12" t="n"/>
      <c r="V49" s="9" t="n"/>
      <c r="W49" s="13" t="n"/>
      <c r="X49" s="11">
        <f>IF(MAX(I49:L49,N49,P49:S49,AA49,AC49)=0,"",TODAY()-MAX(I49:L49,N49,P49:S49,AA49,AC49))</f>
        <v/>
      </c>
      <c r="Y49" s="9" t="n"/>
      <c r="Z49" s="11">
        <f>IFERROR(IF(INDEX(Leads!$X:$X,MATCH($A49,Leads!$A:$A,0))="","",INDEX(Leads!$X:$X,MATCH($A49,Leads!$A:$A,0))),"")</f>
        <v/>
      </c>
      <c r="AA49" s="13" t="n"/>
      <c r="AB49" s="14">
        <f>IF(AA49="","",AA49+5)</f>
        <v/>
      </c>
      <c r="AC49" s="13" t="n"/>
    </row>
    <row r="50">
      <c r="A50" s="11" t="inlineStr">
        <is>
          <t>G049</t>
        </is>
      </c>
      <c r="B50" s="11">
        <f>IFERROR(INDEX(Leads!$D:$D,MATCH($A50,Leads!$A:$A,0)),"")</f>
        <v/>
      </c>
      <c r="C50" s="11">
        <f>IFERROR(INDEX(Leads!$F:$F,MATCH($A50,Leads!$A:$A,0)),"")</f>
        <v/>
      </c>
      <c r="D50" s="11">
        <f>IFERROR(INDEX(Leads!$G:$G,MATCH($A50,Leads!$A:$A,0)),"")</f>
        <v/>
      </c>
      <c r="E50" s="11">
        <f>IFERROR(INDEX(Leads!$R:$R,MATCH($A50,Leads!$A:$A,0)),"")</f>
        <v/>
      </c>
      <c r="F50" s="11">
        <f>IFERROR(INDEX(Leads!$N:$N,MATCH($A50,Leads!$A:$A,0)),"")</f>
        <v/>
      </c>
      <c r="G50" s="11">
        <f>IFERROR(INDEX(Leads!$J:$J,MATCH($A50,Leads!$A:$A,0)),"")</f>
        <v/>
      </c>
      <c r="H50" s="12" t="inlineStr">
        <is>
          <t>Not started</t>
        </is>
      </c>
      <c r="I50" s="13" t="n"/>
      <c r="J50" s="13" t="n"/>
      <c r="K50" s="13" t="n"/>
      <c r="L50" s="13" t="n"/>
      <c r="M50" s="14">
        <f>IF(L50="","",L50+4)</f>
        <v/>
      </c>
      <c r="N50" s="13" t="n"/>
      <c r="O50" s="14">
        <f>IF(N50="","",N50+6)</f>
        <v/>
      </c>
      <c r="P50" s="13" t="n"/>
      <c r="Q50" s="13" t="n"/>
      <c r="R50" s="13" t="n"/>
      <c r="S50" s="13" t="n"/>
      <c r="T50" s="12" t="n"/>
      <c r="U50" s="12" t="n"/>
      <c r="V50" s="9" t="n"/>
      <c r="W50" s="13" t="n"/>
      <c r="X50" s="11">
        <f>IF(MAX(I50:L50,N50,P50:S50,AA50,AC50)=0,"",TODAY()-MAX(I50:L50,N50,P50:S50,AA50,AC50))</f>
        <v/>
      </c>
      <c r="Y50" s="9" t="n"/>
      <c r="Z50" s="11">
        <f>IFERROR(IF(INDEX(Leads!$X:$X,MATCH($A50,Leads!$A:$A,0))="","",INDEX(Leads!$X:$X,MATCH($A50,Leads!$A:$A,0))),"")</f>
        <v/>
      </c>
      <c r="AA50" s="13" t="n"/>
      <c r="AB50" s="14">
        <f>IF(AA50="","",AA50+5)</f>
        <v/>
      </c>
      <c r="AC50" s="13" t="n"/>
    </row>
    <row r="51">
      <c r="A51" s="11" t="inlineStr">
        <is>
          <t>G050</t>
        </is>
      </c>
      <c r="B51" s="11">
        <f>IFERROR(INDEX(Leads!$D:$D,MATCH($A51,Leads!$A:$A,0)),"")</f>
        <v/>
      </c>
      <c r="C51" s="11">
        <f>IFERROR(INDEX(Leads!$F:$F,MATCH($A51,Leads!$A:$A,0)),"")</f>
        <v/>
      </c>
      <c r="D51" s="11">
        <f>IFERROR(INDEX(Leads!$G:$G,MATCH($A51,Leads!$A:$A,0)),"")</f>
        <v/>
      </c>
      <c r="E51" s="11">
        <f>IFERROR(INDEX(Leads!$R:$R,MATCH($A51,Leads!$A:$A,0)),"")</f>
        <v/>
      </c>
      <c r="F51" s="11">
        <f>IFERROR(INDEX(Leads!$N:$N,MATCH($A51,Leads!$A:$A,0)),"")</f>
        <v/>
      </c>
      <c r="G51" s="11">
        <f>IFERROR(INDEX(Leads!$J:$J,MATCH($A51,Leads!$A:$A,0)),"")</f>
        <v/>
      </c>
      <c r="H51" s="12" t="inlineStr">
        <is>
          <t>Not started</t>
        </is>
      </c>
      <c r="I51" s="13" t="n"/>
      <c r="J51" s="13" t="n"/>
      <c r="K51" s="13" t="n"/>
      <c r="L51" s="13" t="n"/>
      <c r="M51" s="14">
        <f>IF(L51="","",L51+4)</f>
        <v/>
      </c>
      <c r="N51" s="13" t="n"/>
      <c r="O51" s="14">
        <f>IF(N51="","",N51+6)</f>
        <v/>
      </c>
      <c r="P51" s="13" t="n"/>
      <c r="Q51" s="13" t="n"/>
      <c r="R51" s="13" t="n"/>
      <c r="S51" s="13" t="n"/>
      <c r="T51" s="12" t="n"/>
      <c r="U51" s="12" t="n"/>
      <c r="V51" s="9" t="n"/>
      <c r="W51" s="13" t="n"/>
      <c r="X51" s="11">
        <f>IF(MAX(I51:L51,N51,P51:S51,AA51,AC51)=0,"",TODAY()-MAX(I51:L51,N51,P51:S51,AA51,AC51))</f>
        <v/>
      </c>
      <c r="Y51" s="9" t="n"/>
      <c r="Z51" s="11">
        <f>IFERROR(IF(INDEX(Leads!$X:$X,MATCH($A51,Leads!$A:$A,0))="","",INDEX(Leads!$X:$X,MATCH($A51,Leads!$A:$A,0))),"")</f>
        <v/>
      </c>
      <c r="AA51" s="13" t="n"/>
      <c r="AB51" s="14">
        <f>IF(AA51="","",AA51+5)</f>
        <v/>
      </c>
      <c r="AC51" s="13" t="n"/>
    </row>
    <row r="52">
      <c r="A52" s="11" t="inlineStr">
        <is>
          <t>G051</t>
        </is>
      </c>
      <c r="B52" s="11">
        <f>IFERROR(INDEX(Leads!$D:$D,MATCH($A52,Leads!$A:$A,0)),"")</f>
        <v/>
      </c>
      <c r="C52" s="11">
        <f>IFERROR(INDEX(Leads!$F:$F,MATCH($A52,Leads!$A:$A,0)),"")</f>
        <v/>
      </c>
      <c r="D52" s="11">
        <f>IFERROR(INDEX(Leads!$G:$G,MATCH($A52,Leads!$A:$A,0)),"")</f>
        <v/>
      </c>
      <c r="E52" s="11">
        <f>IFERROR(INDEX(Leads!$R:$R,MATCH($A52,Leads!$A:$A,0)),"")</f>
        <v/>
      </c>
      <c r="F52" s="11">
        <f>IFERROR(INDEX(Leads!$N:$N,MATCH($A52,Leads!$A:$A,0)),"")</f>
        <v/>
      </c>
      <c r="G52" s="11">
        <f>IFERROR(INDEX(Leads!$J:$J,MATCH($A52,Leads!$A:$A,0)),"")</f>
        <v/>
      </c>
      <c r="H52" s="12" t="inlineStr">
        <is>
          <t>Not started</t>
        </is>
      </c>
      <c r="I52" s="13" t="n"/>
      <c r="J52" s="13" t="n"/>
      <c r="K52" s="13" t="n"/>
      <c r="L52" s="13" t="n"/>
      <c r="M52" s="14">
        <f>IF(L52="","",L52+4)</f>
        <v/>
      </c>
      <c r="N52" s="13" t="n"/>
      <c r="O52" s="14">
        <f>IF(N52="","",N52+6)</f>
        <v/>
      </c>
      <c r="P52" s="13" t="n"/>
      <c r="Q52" s="13" t="n"/>
      <c r="R52" s="13" t="n"/>
      <c r="S52" s="13" t="n"/>
      <c r="T52" s="12" t="n"/>
      <c r="U52" s="12" t="n"/>
      <c r="V52" s="9" t="n"/>
      <c r="W52" s="13" t="n"/>
      <c r="X52" s="11">
        <f>IF(MAX(I52:L52,N52,P52:S52,AA52,AC52)=0,"",TODAY()-MAX(I52:L52,N52,P52:S52,AA52,AC52))</f>
        <v/>
      </c>
      <c r="Y52" s="9" t="n"/>
      <c r="Z52" s="11">
        <f>IFERROR(IF(INDEX(Leads!$X:$X,MATCH($A52,Leads!$A:$A,0))="","",INDEX(Leads!$X:$X,MATCH($A52,Leads!$A:$A,0))),"")</f>
        <v/>
      </c>
      <c r="AA52" s="13" t="n"/>
      <c r="AB52" s="14">
        <f>IF(AA52="","",AA52+5)</f>
        <v/>
      </c>
      <c r="AC52" s="13" t="n"/>
    </row>
    <row r="53">
      <c r="A53" s="11" t="inlineStr">
        <is>
          <t>G052</t>
        </is>
      </c>
      <c r="B53" s="11">
        <f>IFERROR(INDEX(Leads!$D:$D,MATCH($A53,Leads!$A:$A,0)),"")</f>
        <v/>
      </c>
      <c r="C53" s="11">
        <f>IFERROR(INDEX(Leads!$F:$F,MATCH($A53,Leads!$A:$A,0)),"")</f>
        <v/>
      </c>
      <c r="D53" s="11">
        <f>IFERROR(INDEX(Leads!$G:$G,MATCH($A53,Leads!$A:$A,0)),"")</f>
        <v/>
      </c>
      <c r="E53" s="11">
        <f>IFERROR(INDEX(Leads!$R:$R,MATCH($A53,Leads!$A:$A,0)),"")</f>
        <v/>
      </c>
      <c r="F53" s="11">
        <f>IFERROR(INDEX(Leads!$N:$N,MATCH($A53,Leads!$A:$A,0)),"")</f>
        <v/>
      </c>
      <c r="G53" s="11">
        <f>IFERROR(INDEX(Leads!$J:$J,MATCH($A53,Leads!$A:$A,0)),"")</f>
        <v/>
      </c>
      <c r="H53" s="12" t="inlineStr">
        <is>
          <t>Not started</t>
        </is>
      </c>
      <c r="I53" s="13" t="n"/>
      <c r="J53" s="13" t="n"/>
      <c r="K53" s="13" t="n"/>
      <c r="L53" s="13" t="n"/>
      <c r="M53" s="14">
        <f>IF(L53="","",L53+4)</f>
        <v/>
      </c>
      <c r="N53" s="13" t="n"/>
      <c r="O53" s="14">
        <f>IF(N53="","",N53+6)</f>
        <v/>
      </c>
      <c r="P53" s="13" t="n"/>
      <c r="Q53" s="13" t="n"/>
      <c r="R53" s="13" t="n"/>
      <c r="S53" s="13" t="n"/>
      <c r="T53" s="12" t="n"/>
      <c r="U53" s="12" t="n"/>
      <c r="V53" s="9" t="n"/>
      <c r="W53" s="13" t="n"/>
      <c r="X53" s="11">
        <f>IF(MAX(I53:L53,N53,P53:S53,AA53,AC53)=0,"",TODAY()-MAX(I53:L53,N53,P53:S53,AA53,AC53))</f>
        <v/>
      </c>
      <c r="Y53" s="9" t="n"/>
      <c r="Z53" s="11">
        <f>IFERROR(IF(INDEX(Leads!$X:$X,MATCH($A53,Leads!$A:$A,0))="","",INDEX(Leads!$X:$X,MATCH($A53,Leads!$A:$A,0))),"")</f>
        <v/>
      </c>
      <c r="AA53" s="13" t="n"/>
      <c r="AB53" s="14">
        <f>IF(AA53="","",AA53+5)</f>
        <v/>
      </c>
      <c r="AC53" s="13" t="n"/>
    </row>
    <row r="54">
      <c r="A54" s="11" t="inlineStr">
        <is>
          <t>G053</t>
        </is>
      </c>
      <c r="B54" s="11">
        <f>IFERROR(INDEX(Leads!$D:$D,MATCH($A54,Leads!$A:$A,0)),"")</f>
        <v/>
      </c>
      <c r="C54" s="11">
        <f>IFERROR(INDEX(Leads!$F:$F,MATCH($A54,Leads!$A:$A,0)),"")</f>
        <v/>
      </c>
      <c r="D54" s="11">
        <f>IFERROR(INDEX(Leads!$G:$G,MATCH($A54,Leads!$A:$A,0)),"")</f>
        <v/>
      </c>
      <c r="E54" s="11">
        <f>IFERROR(INDEX(Leads!$R:$R,MATCH($A54,Leads!$A:$A,0)),"")</f>
        <v/>
      </c>
      <c r="F54" s="11">
        <f>IFERROR(INDEX(Leads!$N:$N,MATCH($A54,Leads!$A:$A,0)),"")</f>
        <v/>
      </c>
      <c r="G54" s="11">
        <f>IFERROR(INDEX(Leads!$J:$J,MATCH($A54,Leads!$A:$A,0)),"")</f>
        <v/>
      </c>
      <c r="H54" s="12" t="inlineStr">
        <is>
          <t>Not started</t>
        </is>
      </c>
      <c r="I54" s="13" t="n"/>
      <c r="J54" s="13" t="n"/>
      <c r="K54" s="13" t="n"/>
      <c r="L54" s="13" t="n"/>
      <c r="M54" s="14">
        <f>IF(L54="","",L54+4)</f>
        <v/>
      </c>
      <c r="N54" s="13" t="n"/>
      <c r="O54" s="14">
        <f>IF(N54="","",N54+6)</f>
        <v/>
      </c>
      <c r="P54" s="13" t="n"/>
      <c r="Q54" s="13" t="n"/>
      <c r="R54" s="13" t="n"/>
      <c r="S54" s="13" t="n"/>
      <c r="T54" s="12" t="n"/>
      <c r="U54" s="12" t="n"/>
      <c r="V54" s="9" t="n"/>
      <c r="W54" s="13" t="n"/>
      <c r="X54" s="11">
        <f>IF(MAX(I54:L54,N54,P54:S54,AA54,AC54)=0,"",TODAY()-MAX(I54:L54,N54,P54:S54,AA54,AC54))</f>
        <v/>
      </c>
      <c r="Y54" s="9" t="n"/>
      <c r="Z54" s="11">
        <f>IFERROR(IF(INDEX(Leads!$X:$X,MATCH($A54,Leads!$A:$A,0))="","",INDEX(Leads!$X:$X,MATCH($A54,Leads!$A:$A,0))),"")</f>
        <v/>
      </c>
      <c r="AA54" s="13" t="n"/>
      <c r="AB54" s="14">
        <f>IF(AA54="","",AA54+5)</f>
        <v/>
      </c>
      <c r="AC54" s="13" t="n"/>
    </row>
    <row r="55">
      <c r="A55" s="11" t="inlineStr">
        <is>
          <t>G054</t>
        </is>
      </c>
      <c r="B55" s="11">
        <f>IFERROR(INDEX(Leads!$D:$D,MATCH($A55,Leads!$A:$A,0)),"")</f>
        <v/>
      </c>
      <c r="C55" s="11">
        <f>IFERROR(INDEX(Leads!$F:$F,MATCH($A55,Leads!$A:$A,0)),"")</f>
        <v/>
      </c>
      <c r="D55" s="11">
        <f>IFERROR(INDEX(Leads!$G:$G,MATCH($A55,Leads!$A:$A,0)),"")</f>
        <v/>
      </c>
      <c r="E55" s="11">
        <f>IFERROR(INDEX(Leads!$R:$R,MATCH($A55,Leads!$A:$A,0)),"")</f>
        <v/>
      </c>
      <c r="F55" s="11">
        <f>IFERROR(INDEX(Leads!$N:$N,MATCH($A55,Leads!$A:$A,0)),"")</f>
        <v/>
      </c>
      <c r="G55" s="11">
        <f>IFERROR(INDEX(Leads!$J:$J,MATCH($A55,Leads!$A:$A,0)),"")</f>
        <v/>
      </c>
      <c r="H55" s="12" t="inlineStr">
        <is>
          <t>Not started</t>
        </is>
      </c>
      <c r="I55" s="13" t="n"/>
      <c r="J55" s="13" t="n"/>
      <c r="K55" s="13" t="n"/>
      <c r="L55" s="13" t="n"/>
      <c r="M55" s="14">
        <f>IF(L55="","",L55+4)</f>
        <v/>
      </c>
      <c r="N55" s="13" t="n"/>
      <c r="O55" s="14">
        <f>IF(N55="","",N55+6)</f>
        <v/>
      </c>
      <c r="P55" s="13" t="n"/>
      <c r="Q55" s="13" t="n"/>
      <c r="R55" s="13" t="n"/>
      <c r="S55" s="13" t="n"/>
      <c r="T55" s="12" t="n"/>
      <c r="U55" s="12" t="n"/>
      <c r="V55" s="9" t="n"/>
      <c r="W55" s="13" t="n"/>
      <c r="X55" s="11">
        <f>IF(MAX(I55:L55,N55,P55:S55,AA55,AC55)=0,"",TODAY()-MAX(I55:L55,N55,P55:S55,AA55,AC55))</f>
        <v/>
      </c>
      <c r="Y55" s="9" t="n"/>
      <c r="Z55" s="11">
        <f>IFERROR(IF(INDEX(Leads!$X:$X,MATCH($A55,Leads!$A:$A,0))="","",INDEX(Leads!$X:$X,MATCH($A55,Leads!$A:$A,0))),"")</f>
        <v/>
      </c>
      <c r="AA55" s="13" t="n"/>
      <c r="AB55" s="14">
        <f>IF(AA55="","",AA55+5)</f>
        <v/>
      </c>
      <c r="AC55" s="13" t="n"/>
    </row>
    <row r="56">
      <c r="A56" s="11" t="inlineStr">
        <is>
          <t>G055</t>
        </is>
      </c>
      <c r="B56" s="11">
        <f>IFERROR(INDEX(Leads!$D:$D,MATCH($A56,Leads!$A:$A,0)),"")</f>
        <v/>
      </c>
      <c r="C56" s="11">
        <f>IFERROR(INDEX(Leads!$F:$F,MATCH($A56,Leads!$A:$A,0)),"")</f>
        <v/>
      </c>
      <c r="D56" s="11">
        <f>IFERROR(INDEX(Leads!$G:$G,MATCH($A56,Leads!$A:$A,0)),"")</f>
        <v/>
      </c>
      <c r="E56" s="11">
        <f>IFERROR(INDEX(Leads!$R:$R,MATCH($A56,Leads!$A:$A,0)),"")</f>
        <v/>
      </c>
      <c r="F56" s="11">
        <f>IFERROR(INDEX(Leads!$N:$N,MATCH($A56,Leads!$A:$A,0)),"")</f>
        <v/>
      </c>
      <c r="G56" s="11">
        <f>IFERROR(INDEX(Leads!$J:$J,MATCH($A56,Leads!$A:$A,0)),"")</f>
        <v/>
      </c>
      <c r="H56" s="12" t="inlineStr">
        <is>
          <t>Not started</t>
        </is>
      </c>
      <c r="I56" s="13" t="n"/>
      <c r="J56" s="13" t="n"/>
      <c r="K56" s="13" t="n"/>
      <c r="L56" s="13" t="n"/>
      <c r="M56" s="14">
        <f>IF(L56="","",L56+4)</f>
        <v/>
      </c>
      <c r="N56" s="13" t="n"/>
      <c r="O56" s="14">
        <f>IF(N56="","",N56+6)</f>
        <v/>
      </c>
      <c r="P56" s="13" t="n"/>
      <c r="Q56" s="13" t="n"/>
      <c r="R56" s="13" t="n"/>
      <c r="S56" s="13" t="n"/>
      <c r="T56" s="12" t="n"/>
      <c r="U56" s="12" t="n"/>
      <c r="V56" s="9" t="n"/>
      <c r="W56" s="13" t="n"/>
      <c r="X56" s="11">
        <f>IF(MAX(I56:L56,N56,P56:S56,AA56,AC56)=0,"",TODAY()-MAX(I56:L56,N56,P56:S56,AA56,AC56))</f>
        <v/>
      </c>
      <c r="Y56" s="9" t="n"/>
      <c r="Z56" s="11">
        <f>IFERROR(IF(INDEX(Leads!$X:$X,MATCH($A56,Leads!$A:$A,0))="","",INDEX(Leads!$X:$X,MATCH($A56,Leads!$A:$A,0))),"")</f>
        <v/>
      </c>
      <c r="AA56" s="13" t="n"/>
      <c r="AB56" s="14">
        <f>IF(AA56="","",AA56+5)</f>
        <v/>
      </c>
      <c r="AC56" s="13" t="n"/>
    </row>
    <row r="57">
      <c r="A57" s="11" t="inlineStr">
        <is>
          <t>G056</t>
        </is>
      </c>
      <c r="B57" s="11">
        <f>IFERROR(INDEX(Leads!$D:$D,MATCH($A57,Leads!$A:$A,0)),"")</f>
        <v/>
      </c>
      <c r="C57" s="11">
        <f>IFERROR(INDEX(Leads!$F:$F,MATCH($A57,Leads!$A:$A,0)),"")</f>
        <v/>
      </c>
      <c r="D57" s="11">
        <f>IFERROR(INDEX(Leads!$G:$G,MATCH($A57,Leads!$A:$A,0)),"")</f>
        <v/>
      </c>
      <c r="E57" s="11">
        <f>IFERROR(INDEX(Leads!$R:$R,MATCH($A57,Leads!$A:$A,0)),"")</f>
        <v/>
      </c>
      <c r="F57" s="11">
        <f>IFERROR(INDEX(Leads!$N:$N,MATCH($A57,Leads!$A:$A,0)),"")</f>
        <v/>
      </c>
      <c r="G57" s="11">
        <f>IFERROR(INDEX(Leads!$J:$J,MATCH($A57,Leads!$A:$A,0)),"")</f>
        <v/>
      </c>
      <c r="H57" s="12" t="inlineStr">
        <is>
          <t>Not started</t>
        </is>
      </c>
      <c r="I57" s="13" t="n"/>
      <c r="J57" s="13" t="n"/>
      <c r="K57" s="13" t="n"/>
      <c r="L57" s="13" t="n"/>
      <c r="M57" s="14">
        <f>IF(L57="","",L57+4)</f>
        <v/>
      </c>
      <c r="N57" s="13" t="n"/>
      <c r="O57" s="14">
        <f>IF(N57="","",N57+6)</f>
        <v/>
      </c>
      <c r="P57" s="13" t="n"/>
      <c r="Q57" s="13" t="n"/>
      <c r="R57" s="13" t="n"/>
      <c r="S57" s="13" t="n"/>
      <c r="T57" s="12" t="n"/>
      <c r="U57" s="12" t="n"/>
      <c r="V57" s="9" t="n"/>
      <c r="W57" s="13" t="n"/>
      <c r="X57" s="11">
        <f>IF(MAX(I57:L57,N57,P57:S57,AA57,AC57)=0,"",TODAY()-MAX(I57:L57,N57,P57:S57,AA57,AC57))</f>
        <v/>
      </c>
      <c r="Y57" s="9" t="n"/>
      <c r="Z57" s="11">
        <f>IFERROR(IF(INDEX(Leads!$X:$X,MATCH($A57,Leads!$A:$A,0))="","",INDEX(Leads!$X:$X,MATCH($A57,Leads!$A:$A,0))),"")</f>
        <v/>
      </c>
      <c r="AA57" s="13" t="n"/>
      <c r="AB57" s="14">
        <f>IF(AA57="","",AA57+5)</f>
        <v/>
      </c>
      <c r="AC57" s="13" t="n"/>
    </row>
    <row r="58">
      <c r="A58" s="11" t="inlineStr">
        <is>
          <t>G057</t>
        </is>
      </c>
      <c r="B58" s="11">
        <f>IFERROR(INDEX(Leads!$D:$D,MATCH($A58,Leads!$A:$A,0)),"")</f>
        <v/>
      </c>
      <c r="C58" s="11">
        <f>IFERROR(INDEX(Leads!$F:$F,MATCH($A58,Leads!$A:$A,0)),"")</f>
        <v/>
      </c>
      <c r="D58" s="11">
        <f>IFERROR(INDEX(Leads!$G:$G,MATCH($A58,Leads!$A:$A,0)),"")</f>
        <v/>
      </c>
      <c r="E58" s="11">
        <f>IFERROR(INDEX(Leads!$R:$R,MATCH($A58,Leads!$A:$A,0)),"")</f>
        <v/>
      </c>
      <c r="F58" s="11">
        <f>IFERROR(INDEX(Leads!$N:$N,MATCH($A58,Leads!$A:$A,0)),"")</f>
        <v/>
      </c>
      <c r="G58" s="11">
        <f>IFERROR(INDEX(Leads!$J:$J,MATCH($A58,Leads!$A:$A,0)),"")</f>
        <v/>
      </c>
      <c r="H58" s="12" t="inlineStr">
        <is>
          <t>Not started</t>
        </is>
      </c>
      <c r="I58" s="13" t="n"/>
      <c r="J58" s="13" t="n"/>
      <c r="K58" s="13" t="n"/>
      <c r="L58" s="13" t="n"/>
      <c r="M58" s="14">
        <f>IF(L58="","",L58+4)</f>
        <v/>
      </c>
      <c r="N58" s="13" t="n"/>
      <c r="O58" s="14">
        <f>IF(N58="","",N58+6)</f>
        <v/>
      </c>
      <c r="P58" s="13" t="n"/>
      <c r="Q58" s="13" t="n"/>
      <c r="R58" s="13" t="n"/>
      <c r="S58" s="13" t="n"/>
      <c r="T58" s="12" t="n"/>
      <c r="U58" s="12" t="n"/>
      <c r="V58" s="9" t="n"/>
      <c r="W58" s="13" t="n"/>
      <c r="X58" s="11">
        <f>IF(MAX(I58:L58,N58,P58:S58,AA58,AC58)=0,"",TODAY()-MAX(I58:L58,N58,P58:S58,AA58,AC58))</f>
        <v/>
      </c>
      <c r="Y58" s="9" t="n"/>
      <c r="Z58" s="11">
        <f>IFERROR(IF(INDEX(Leads!$X:$X,MATCH($A58,Leads!$A:$A,0))="","",INDEX(Leads!$X:$X,MATCH($A58,Leads!$A:$A,0))),"")</f>
        <v/>
      </c>
      <c r="AA58" s="13" t="n"/>
      <c r="AB58" s="14">
        <f>IF(AA58="","",AA58+5)</f>
        <v/>
      </c>
      <c r="AC58" s="13" t="n"/>
    </row>
    <row r="59">
      <c r="A59" s="11" t="inlineStr">
        <is>
          <t>G058</t>
        </is>
      </c>
      <c r="B59" s="11">
        <f>IFERROR(INDEX(Leads!$D:$D,MATCH($A59,Leads!$A:$A,0)),"")</f>
        <v/>
      </c>
      <c r="C59" s="11">
        <f>IFERROR(INDEX(Leads!$F:$F,MATCH($A59,Leads!$A:$A,0)),"")</f>
        <v/>
      </c>
      <c r="D59" s="11">
        <f>IFERROR(INDEX(Leads!$G:$G,MATCH($A59,Leads!$A:$A,0)),"")</f>
        <v/>
      </c>
      <c r="E59" s="11">
        <f>IFERROR(INDEX(Leads!$R:$R,MATCH($A59,Leads!$A:$A,0)),"")</f>
        <v/>
      </c>
      <c r="F59" s="11">
        <f>IFERROR(INDEX(Leads!$N:$N,MATCH($A59,Leads!$A:$A,0)),"")</f>
        <v/>
      </c>
      <c r="G59" s="11">
        <f>IFERROR(INDEX(Leads!$J:$J,MATCH($A59,Leads!$A:$A,0)),"")</f>
        <v/>
      </c>
      <c r="H59" s="12" t="inlineStr">
        <is>
          <t>Not started</t>
        </is>
      </c>
      <c r="I59" s="13" t="n"/>
      <c r="J59" s="13" t="n"/>
      <c r="K59" s="13" t="n"/>
      <c r="L59" s="13" t="n"/>
      <c r="M59" s="14">
        <f>IF(L59="","",L59+4)</f>
        <v/>
      </c>
      <c r="N59" s="13" t="n"/>
      <c r="O59" s="14">
        <f>IF(N59="","",N59+6)</f>
        <v/>
      </c>
      <c r="P59" s="13" t="n"/>
      <c r="Q59" s="13" t="n"/>
      <c r="R59" s="13" t="n"/>
      <c r="S59" s="13" t="n"/>
      <c r="T59" s="12" t="n"/>
      <c r="U59" s="12" t="n"/>
      <c r="V59" s="9" t="n"/>
      <c r="W59" s="13" t="n"/>
      <c r="X59" s="11">
        <f>IF(MAX(I59:L59,N59,P59:S59,AA59,AC59)=0,"",TODAY()-MAX(I59:L59,N59,P59:S59,AA59,AC59))</f>
        <v/>
      </c>
      <c r="Y59" s="9" t="n"/>
      <c r="Z59" s="11">
        <f>IFERROR(IF(INDEX(Leads!$X:$X,MATCH($A59,Leads!$A:$A,0))="","",INDEX(Leads!$X:$X,MATCH($A59,Leads!$A:$A,0))),"")</f>
        <v/>
      </c>
      <c r="AA59" s="13" t="n"/>
      <c r="AB59" s="14">
        <f>IF(AA59="","",AA59+5)</f>
        <v/>
      </c>
      <c r="AC59" s="13" t="n"/>
    </row>
    <row r="60">
      <c r="A60" s="11" t="inlineStr">
        <is>
          <t>G059</t>
        </is>
      </c>
      <c r="B60" s="11">
        <f>IFERROR(INDEX(Leads!$D:$D,MATCH($A60,Leads!$A:$A,0)),"")</f>
        <v/>
      </c>
      <c r="C60" s="11">
        <f>IFERROR(INDEX(Leads!$F:$F,MATCH($A60,Leads!$A:$A,0)),"")</f>
        <v/>
      </c>
      <c r="D60" s="11">
        <f>IFERROR(INDEX(Leads!$G:$G,MATCH($A60,Leads!$A:$A,0)),"")</f>
        <v/>
      </c>
      <c r="E60" s="11">
        <f>IFERROR(INDEX(Leads!$R:$R,MATCH($A60,Leads!$A:$A,0)),"")</f>
        <v/>
      </c>
      <c r="F60" s="11">
        <f>IFERROR(INDEX(Leads!$N:$N,MATCH($A60,Leads!$A:$A,0)),"")</f>
        <v/>
      </c>
      <c r="G60" s="11">
        <f>IFERROR(INDEX(Leads!$J:$J,MATCH($A60,Leads!$A:$A,0)),"")</f>
        <v/>
      </c>
      <c r="H60" s="12" t="inlineStr">
        <is>
          <t>Not started</t>
        </is>
      </c>
      <c r="I60" s="13" t="n"/>
      <c r="J60" s="13" t="n"/>
      <c r="K60" s="13" t="n"/>
      <c r="L60" s="13" t="n"/>
      <c r="M60" s="14">
        <f>IF(L60="","",L60+4)</f>
        <v/>
      </c>
      <c r="N60" s="13" t="n"/>
      <c r="O60" s="14">
        <f>IF(N60="","",N60+6)</f>
        <v/>
      </c>
      <c r="P60" s="13" t="n"/>
      <c r="Q60" s="13" t="n"/>
      <c r="R60" s="13" t="n"/>
      <c r="S60" s="13" t="n"/>
      <c r="T60" s="12" t="n"/>
      <c r="U60" s="12" t="n"/>
      <c r="V60" s="9" t="n"/>
      <c r="W60" s="13" t="n"/>
      <c r="X60" s="11">
        <f>IF(MAX(I60:L60,N60,P60:S60,AA60,AC60)=0,"",TODAY()-MAX(I60:L60,N60,P60:S60,AA60,AC60))</f>
        <v/>
      </c>
      <c r="Y60" s="9" t="n"/>
      <c r="Z60" s="11">
        <f>IFERROR(IF(INDEX(Leads!$X:$X,MATCH($A60,Leads!$A:$A,0))="","",INDEX(Leads!$X:$X,MATCH($A60,Leads!$A:$A,0))),"")</f>
        <v/>
      </c>
      <c r="AA60" s="13" t="n"/>
      <c r="AB60" s="14">
        <f>IF(AA60="","",AA60+5)</f>
        <v/>
      </c>
      <c r="AC60" s="13" t="n"/>
    </row>
    <row r="61">
      <c r="A61" s="11" t="inlineStr">
        <is>
          <t>G060</t>
        </is>
      </c>
      <c r="B61" s="11">
        <f>IFERROR(INDEX(Leads!$D:$D,MATCH($A61,Leads!$A:$A,0)),"")</f>
        <v/>
      </c>
      <c r="C61" s="11">
        <f>IFERROR(INDEX(Leads!$F:$F,MATCH($A61,Leads!$A:$A,0)),"")</f>
        <v/>
      </c>
      <c r="D61" s="11">
        <f>IFERROR(INDEX(Leads!$G:$G,MATCH($A61,Leads!$A:$A,0)),"")</f>
        <v/>
      </c>
      <c r="E61" s="11">
        <f>IFERROR(INDEX(Leads!$R:$R,MATCH($A61,Leads!$A:$A,0)),"")</f>
        <v/>
      </c>
      <c r="F61" s="11">
        <f>IFERROR(INDEX(Leads!$N:$N,MATCH($A61,Leads!$A:$A,0)),"")</f>
        <v/>
      </c>
      <c r="G61" s="11">
        <f>IFERROR(INDEX(Leads!$J:$J,MATCH($A61,Leads!$A:$A,0)),"")</f>
        <v/>
      </c>
      <c r="H61" s="12" t="inlineStr">
        <is>
          <t>Not started</t>
        </is>
      </c>
      <c r="I61" s="13" t="n"/>
      <c r="J61" s="13" t="n"/>
      <c r="K61" s="13" t="n"/>
      <c r="L61" s="13" t="n"/>
      <c r="M61" s="14">
        <f>IF(L61="","",L61+4)</f>
        <v/>
      </c>
      <c r="N61" s="13" t="n"/>
      <c r="O61" s="14">
        <f>IF(N61="","",N61+6)</f>
        <v/>
      </c>
      <c r="P61" s="13" t="n"/>
      <c r="Q61" s="13" t="n"/>
      <c r="R61" s="13" t="n"/>
      <c r="S61" s="13" t="n"/>
      <c r="T61" s="12" t="n"/>
      <c r="U61" s="12" t="n"/>
      <c r="V61" s="9" t="n"/>
      <c r="W61" s="13" t="n"/>
      <c r="X61" s="11">
        <f>IF(MAX(I61:L61,N61,P61:S61,AA61,AC61)=0,"",TODAY()-MAX(I61:L61,N61,P61:S61,AA61,AC61))</f>
        <v/>
      </c>
      <c r="Y61" s="9" t="n"/>
      <c r="Z61" s="11">
        <f>IFERROR(IF(INDEX(Leads!$X:$X,MATCH($A61,Leads!$A:$A,0))="","",INDEX(Leads!$X:$X,MATCH($A61,Leads!$A:$A,0))),"")</f>
        <v/>
      </c>
      <c r="AA61" s="13" t="n"/>
      <c r="AB61" s="14">
        <f>IF(AA61="","",AA61+5)</f>
        <v/>
      </c>
      <c r="AC61" s="13" t="n"/>
    </row>
    <row r="62">
      <c r="A62" s="11" t="inlineStr">
        <is>
          <t>G061</t>
        </is>
      </c>
      <c r="B62" s="11">
        <f>IFERROR(INDEX(Leads!$D:$D,MATCH($A62,Leads!$A:$A,0)),"")</f>
        <v/>
      </c>
      <c r="C62" s="11">
        <f>IFERROR(INDEX(Leads!$F:$F,MATCH($A62,Leads!$A:$A,0)),"")</f>
        <v/>
      </c>
      <c r="D62" s="11">
        <f>IFERROR(INDEX(Leads!$G:$G,MATCH($A62,Leads!$A:$A,0)),"")</f>
        <v/>
      </c>
      <c r="E62" s="11">
        <f>IFERROR(INDEX(Leads!$R:$R,MATCH($A62,Leads!$A:$A,0)),"")</f>
        <v/>
      </c>
      <c r="F62" s="11">
        <f>IFERROR(INDEX(Leads!$N:$N,MATCH($A62,Leads!$A:$A,0)),"")</f>
        <v/>
      </c>
      <c r="G62" s="11">
        <f>IFERROR(INDEX(Leads!$J:$J,MATCH($A62,Leads!$A:$A,0)),"")</f>
        <v/>
      </c>
      <c r="H62" s="12" t="inlineStr">
        <is>
          <t>Not started</t>
        </is>
      </c>
      <c r="I62" s="13" t="n"/>
      <c r="J62" s="13" t="n"/>
      <c r="K62" s="13" t="n"/>
      <c r="L62" s="13" t="n"/>
      <c r="M62" s="14">
        <f>IF(L62="","",L62+4)</f>
        <v/>
      </c>
      <c r="N62" s="13" t="n"/>
      <c r="O62" s="14">
        <f>IF(N62="","",N62+6)</f>
        <v/>
      </c>
      <c r="P62" s="13" t="n"/>
      <c r="Q62" s="13" t="n"/>
      <c r="R62" s="13" t="n"/>
      <c r="S62" s="13" t="n"/>
      <c r="T62" s="12" t="n"/>
      <c r="U62" s="12" t="n"/>
      <c r="V62" s="9" t="n"/>
      <c r="W62" s="13" t="n"/>
      <c r="X62" s="11">
        <f>IF(MAX(I62:L62,N62,P62:S62,AA62,AC62)=0,"",TODAY()-MAX(I62:L62,N62,P62:S62,AA62,AC62))</f>
        <v/>
      </c>
      <c r="Y62" s="9" t="n"/>
      <c r="Z62" s="11">
        <f>IFERROR(IF(INDEX(Leads!$X:$X,MATCH($A62,Leads!$A:$A,0))="","",INDEX(Leads!$X:$X,MATCH($A62,Leads!$A:$A,0))),"")</f>
        <v/>
      </c>
      <c r="AA62" s="13" t="n"/>
      <c r="AB62" s="14">
        <f>IF(AA62="","",AA62+5)</f>
        <v/>
      </c>
      <c r="AC62" s="13" t="n"/>
    </row>
    <row r="63">
      <c r="A63" s="11" t="inlineStr">
        <is>
          <t>G062</t>
        </is>
      </c>
      <c r="B63" s="11">
        <f>IFERROR(INDEX(Leads!$D:$D,MATCH($A63,Leads!$A:$A,0)),"")</f>
        <v/>
      </c>
      <c r="C63" s="11">
        <f>IFERROR(INDEX(Leads!$F:$F,MATCH($A63,Leads!$A:$A,0)),"")</f>
        <v/>
      </c>
      <c r="D63" s="11">
        <f>IFERROR(INDEX(Leads!$G:$G,MATCH($A63,Leads!$A:$A,0)),"")</f>
        <v/>
      </c>
      <c r="E63" s="11">
        <f>IFERROR(INDEX(Leads!$R:$R,MATCH($A63,Leads!$A:$A,0)),"")</f>
        <v/>
      </c>
      <c r="F63" s="11">
        <f>IFERROR(INDEX(Leads!$N:$N,MATCH($A63,Leads!$A:$A,0)),"")</f>
        <v/>
      </c>
      <c r="G63" s="11">
        <f>IFERROR(INDEX(Leads!$J:$J,MATCH($A63,Leads!$A:$A,0)),"")</f>
        <v/>
      </c>
      <c r="H63" s="12" t="inlineStr">
        <is>
          <t>Not started</t>
        </is>
      </c>
      <c r="I63" s="13" t="n"/>
      <c r="J63" s="13" t="n"/>
      <c r="K63" s="13" t="n"/>
      <c r="L63" s="13" t="n"/>
      <c r="M63" s="14">
        <f>IF(L63="","",L63+4)</f>
        <v/>
      </c>
      <c r="N63" s="13" t="n"/>
      <c r="O63" s="14">
        <f>IF(N63="","",N63+6)</f>
        <v/>
      </c>
      <c r="P63" s="13" t="n"/>
      <c r="Q63" s="13" t="n"/>
      <c r="R63" s="13" t="n"/>
      <c r="S63" s="13" t="n"/>
      <c r="T63" s="12" t="n"/>
      <c r="U63" s="12" t="n"/>
      <c r="V63" s="9" t="n"/>
      <c r="W63" s="13" t="n"/>
      <c r="X63" s="11">
        <f>IF(MAX(I63:L63,N63,P63:S63,AA63,AC63)=0,"",TODAY()-MAX(I63:L63,N63,P63:S63,AA63,AC63))</f>
        <v/>
      </c>
      <c r="Y63" s="9" t="n"/>
      <c r="Z63" s="11">
        <f>IFERROR(IF(INDEX(Leads!$X:$X,MATCH($A63,Leads!$A:$A,0))="","",INDEX(Leads!$X:$X,MATCH($A63,Leads!$A:$A,0))),"")</f>
        <v/>
      </c>
      <c r="AA63" s="13" t="n"/>
      <c r="AB63" s="14">
        <f>IF(AA63="","",AA63+5)</f>
        <v/>
      </c>
      <c r="AC63" s="13" t="n"/>
    </row>
    <row r="64">
      <c r="A64" s="11" t="inlineStr">
        <is>
          <t>G063</t>
        </is>
      </c>
      <c r="B64" s="11">
        <f>IFERROR(INDEX(Leads!$D:$D,MATCH($A64,Leads!$A:$A,0)),"")</f>
        <v/>
      </c>
      <c r="C64" s="11">
        <f>IFERROR(INDEX(Leads!$F:$F,MATCH($A64,Leads!$A:$A,0)),"")</f>
        <v/>
      </c>
      <c r="D64" s="11">
        <f>IFERROR(INDEX(Leads!$G:$G,MATCH($A64,Leads!$A:$A,0)),"")</f>
        <v/>
      </c>
      <c r="E64" s="11">
        <f>IFERROR(INDEX(Leads!$R:$R,MATCH($A64,Leads!$A:$A,0)),"")</f>
        <v/>
      </c>
      <c r="F64" s="11">
        <f>IFERROR(INDEX(Leads!$N:$N,MATCH($A64,Leads!$A:$A,0)),"")</f>
        <v/>
      </c>
      <c r="G64" s="11">
        <f>IFERROR(INDEX(Leads!$J:$J,MATCH($A64,Leads!$A:$A,0)),"")</f>
        <v/>
      </c>
      <c r="H64" s="12" t="inlineStr">
        <is>
          <t>Not started</t>
        </is>
      </c>
      <c r="I64" s="13" t="n"/>
      <c r="J64" s="13" t="n"/>
      <c r="K64" s="13" t="n"/>
      <c r="L64" s="13" t="n"/>
      <c r="M64" s="14">
        <f>IF(L64="","",L64+4)</f>
        <v/>
      </c>
      <c r="N64" s="13" t="n"/>
      <c r="O64" s="14">
        <f>IF(N64="","",N64+6)</f>
        <v/>
      </c>
      <c r="P64" s="13" t="n"/>
      <c r="Q64" s="13" t="n"/>
      <c r="R64" s="13" t="n"/>
      <c r="S64" s="13" t="n"/>
      <c r="T64" s="12" t="n"/>
      <c r="U64" s="12" t="n"/>
      <c r="V64" s="9" t="n"/>
      <c r="W64" s="13" t="n"/>
      <c r="X64" s="11">
        <f>IF(MAX(I64:L64,N64,P64:S64,AA64,AC64)=0,"",TODAY()-MAX(I64:L64,N64,P64:S64,AA64,AC64))</f>
        <v/>
      </c>
      <c r="Y64" s="9" t="n"/>
      <c r="Z64" s="11">
        <f>IFERROR(IF(INDEX(Leads!$X:$X,MATCH($A64,Leads!$A:$A,0))="","",INDEX(Leads!$X:$X,MATCH($A64,Leads!$A:$A,0))),"")</f>
        <v/>
      </c>
      <c r="AA64" s="13" t="n"/>
      <c r="AB64" s="14">
        <f>IF(AA64="","",AA64+5)</f>
        <v/>
      </c>
      <c r="AC64" s="13" t="n"/>
    </row>
    <row r="65">
      <c r="A65" s="11" t="inlineStr">
        <is>
          <t>G064</t>
        </is>
      </c>
      <c r="B65" s="11">
        <f>IFERROR(INDEX(Leads!$D:$D,MATCH($A65,Leads!$A:$A,0)),"")</f>
        <v/>
      </c>
      <c r="C65" s="11">
        <f>IFERROR(INDEX(Leads!$F:$F,MATCH($A65,Leads!$A:$A,0)),"")</f>
        <v/>
      </c>
      <c r="D65" s="11">
        <f>IFERROR(INDEX(Leads!$G:$G,MATCH($A65,Leads!$A:$A,0)),"")</f>
        <v/>
      </c>
      <c r="E65" s="11">
        <f>IFERROR(INDEX(Leads!$R:$R,MATCH($A65,Leads!$A:$A,0)),"")</f>
        <v/>
      </c>
      <c r="F65" s="11">
        <f>IFERROR(INDEX(Leads!$N:$N,MATCH($A65,Leads!$A:$A,0)),"")</f>
        <v/>
      </c>
      <c r="G65" s="11">
        <f>IFERROR(INDEX(Leads!$J:$J,MATCH($A65,Leads!$A:$A,0)),"")</f>
        <v/>
      </c>
      <c r="H65" s="12" t="inlineStr">
        <is>
          <t>Not started</t>
        </is>
      </c>
      <c r="I65" s="13" t="n"/>
      <c r="J65" s="13" t="n"/>
      <c r="K65" s="13" t="n"/>
      <c r="L65" s="13" t="n"/>
      <c r="M65" s="14">
        <f>IF(L65="","",L65+4)</f>
        <v/>
      </c>
      <c r="N65" s="13" t="n"/>
      <c r="O65" s="14">
        <f>IF(N65="","",N65+6)</f>
        <v/>
      </c>
      <c r="P65" s="13" t="n"/>
      <c r="Q65" s="13" t="n"/>
      <c r="R65" s="13" t="n"/>
      <c r="S65" s="13" t="n"/>
      <c r="T65" s="12" t="n"/>
      <c r="U65" s="12" t="n"/>
      <c r="V65" s="9" t="n"/>
      <c r="W65" s="13" t="n"/>
      <c r="X65" s="11">
        <f>IF(MAX(I65:L65,N65,P65:S65,AA65,AC65)=0,"",TODAY()-MAX(I65:L65,N65,P65:S65,AA65,AC65))</f>
        <v/>
      </c>
      <c r="Y65" s="9" t="n"/>
      <c r="Z65" s="11">
        <f>IFERROR(IF(INDEX(Leads!$X:$X,MATCH($A65,Leads!$A:$A,0))="","",INDEX(Leads!$X:$X,MATCH($A65,Leads!$A:$A,0))),"")</f>
        <v/>
      </c>
      <c r="AA65" s="13" t="n"/>
      <c r="AB65" s="14">
        <f>IF(AA65="","",AA65+5)</f>
        <v/>
      </c>
      <c r="AC65" s="13" t="n"/>
    </row>
    <row r="66">
      <c r="A66" s="11" t="inlineStr">
        <is>
          <t>G065</t>
        </is>
      </c>
      <c r="B66" s="11">
        <f>IFERROR(INDEX(Leads!$D:$D,MATCH($A66,Leads!$A:$A,0)),"")</f>
        <v/>
      </c>
      <c r="C66" s="11">
        <f>IFERROR(INDEX(Leads!$F:$F,MATCH($A66,Leads!$A:$A,0)),"")</f>
        <v/>
      </c>
      <c r="D66" s="11">
        <f>IFERROR(INDEX(Leads!$G:$G,MATCH($A66,Leads!$A:$A,0)),"")</f>
        <v/>
      </c>
      <c r="E66" s="11">
        <f>IFERROR(INDEX(Leads!$R:$R,MATCH($A66,Leads!$A:$A,0)),"")</f>
        <v/>
      </c>
      <c r="F66" s="11">
        <f>IFERROR(INDEX(Leads!$N:$N,MATCH($A66,Leads!$A:$A,0)),"")</f>
        <v/>
      </c>
      <c r="G66" s="11">
        <f>IFERROR(INDEX(Leads!$J:$J,MATCH($A66,Leads!$A:$A,0)),"")</f>
        <v/>
      </c>
      <c r="H66" s="12" t="inlineStr">
        <is>
          <t>Not started</t>
        </is>
      </c>
      <c r="I66" s="13" t="n"/>
      <c r="J66" s="13" t="n"/>
      <c r="K66" s="13" t="n"/>
      <c r="L66" s="13" t="n"/>
      <c r="M66" s="14">
        <f>IF(L66="","",L66+4)</f>
        <v/>
      </c>
      <c r="N66" s="13" t="n"/>
      <c r="O66" s="14">
        <f>IF(N66="","",N66+6)</f>
        <v/>
      </c>
      <c r="P66" s="13" t="n"/>
      <c r="Q66" s="13" t="n"/>
      <c r="R66" s="13" t="n"/>
      <c r="S66" s="13" t="n"/>
      <c r="T66" s="12" t="n"/>
      <c r="U66" s="12" t="n"/>
      <c r="V66" s="9" t="n"/>
      <c r="W66" s="13" t="n"/>
      <c r="X66" s="11">
        <f>IF(MAX(I66:L66,N66,P66:S66,AA66,AC66)=0,"",TODAY()-MAX(I66:L66,N66,P66:S66,AA66,AC66))</f>
        <v/>
      </c>
      <c r="Y66" s="9" t="n"/>
      <c r="Z66" s="11">
        <f>IFERROR(IF(INDEX(Leads!$X:$X,MATCH($A66,Leads!$A:$A,0))="","",INDEX(Leads!$X:$X,MATCH($A66,Leads!$A:$A,0))),"")</f>
        <v/>
      </c>
      <c r="AA66" s="13" t="n"/>
      <c r="AB66" s="14">
        <f>IF(AA66="","",AA66+5)</f>
        <v/>
      </c>
      <c r="AC66" s="13" t="n"/>
    </row>
    <row r="67">
      <c r="A67" s="11" t="inlineStr">
        <is>
          <t>G066</t>
        </is>
      </c>
      <c r="B67" s="11">
        <f>IFERROR(INDEX(Leads!$D:$D,MATCH($A67,Leads!$A:$A,0)),"")</f>
        <v/>
      </c>
      <c r="C67" s="11">
        <f>IFERROR(INDEX(Leads!$F:$F,MATCH($A67,Leads!$A:$A,0)),"")</f>
        <v/>
      </c>
      <c r="D67" s="11">
        <f>IFERROR(INDEX(Leads!$G:$G,MATCH($A67,Leads!$A:$A,0)),"")</f>
        <v/>
      </c>
      <c r="E67" s="11">
        <f>IFERROR(INDEX(Leads!$R:$R,MATCH($A67,Leads!$A:$A,0)),"")</f>
        <v/>
      </c>
      <c r="F67" s="11">
        <f>IFERROR(INDEX(Leads!$N:$N,MATCH($A67,Leads!$A:$A,0)),"")</f>
        <v/>
      </c>
      <c r="G67" s="11">
        <f>IFERROR(INDEX(Leads!$J:$J,MATCH($A67,Leads!$A:$A,0)),"")</f>
        <v/>
      </c>
      <c r="H67" s="12" t="inlineStr">
        <is>
          <t>Not started</t>
        </is>
      </c>
      <c r="I67" s="13" t="n"/>
      <c r="J67" s="13" t="n"/>
      <c r="K67" s="13" t="n"/>
      <c r="L67" s="13" t="n"/>
      <c r="M67" s="14">
        <f>IF(L67="","",L67+4)</f>
        <v/>
      </c>
      <c r="N67" s="13" t="n"/>
      <c r="O67" s="14">
        <f>IF(N67="","",N67+6)</f>
        <v/>
      </c>
      <c r="P67" s="13" t="n"/>
      <c r="Q67" s="13" t="n"/>
      <c r="R67" s="13" t="n"/>
      <c r="S67" s="13" t="n"/>
      <c r="T67" s="12" t="n"/>
      <c r="U67" s="12" t="n"/>
      <c r="V67" s="9" t="n"/>
      <c r="W67" s="13" t="n"/>
      <c r="X67" s="11">
        <f>IF(MAX(I67:L67,N67,P67:S67,AA67,AC67)=0,"",TODAY()-MAX(I67:L67,N67,P67:S67,AA67,AC67))</f>
        <v/>
      </c>
      <c r="Y67" s="9" t="n"/>
      <c r="Z67" s="11">
        <f>IFERROR(IF(INDEX(Leads!$X:$X,MATCH($A67,Leads!$A:$A,0))="","",INDEX(Leads!$X:$X,MATCH($A67,Leads!$A:$A,0))),"")</f>
        <v/>
      </c>
      <c r="AA67" s="13" t="n"/>
      <c r="AB67" s="14">
        <f>IF(AA67="","",AA67+5)</f>
        <v/>
      </c>
      <c r="AC67" s="13" t="n"/>
    </row>
    <row r="68">
      <c r="A68" s="11" t="inlineStr">
        <is>
          <t>G067</t>
        </is>
      </c>
      <c r="B68" s="11">
        <f>IFERROR(INDEX(Leads!$D:$D,MATCH($A68,Leads!$A:$A,0)),"")</f>
        <v/>
      </c>
      <c r="C68" s="11">
        <f>IFERROR(INDEX(Leads!$F:$F,MATCH($A68,Leads!$A:$A,0)),"")</f>
        <v/>
      </c>
      <c r="D68" s="11">
        <f>IFERROR(INDEX(Leads!$G:$G,MATCH($A68,Leads!$A:$A,0)),"")</f>
        <v/>
      </c>
      <c r="E68" s="11">
        <f>IFERROR(INDEX(Leads!$R:$R,MATCH($A68,Leads!$A:$A,0)),"")</f>
        <v/>
      </c>
      <c r="F68" s="11">
        <f>IFERROR(INDEX(Leads!$N:$N,MATCH($A68,Leads!$A:$A,0)),"")</f>
        <v/>
      </c>
      <c r="G68" s="11">
        <f>IFERROR(INDEX(Leads!$J:$J,MATCH($A68,Leads!$A:$A,0)),"")</f>
        <v/>
      </c>
      <c r="H68" s="12" t="inlineStr">
        <is>
          <t>Not started</t>
        </is>
      </c>
      <c r="I68" s="13" t="n"/>
      <c r="J68" s="13" t="n"/>
      <c r="K68" s="13" t="n"/>
      <c r="L68" s="13" t="n"/>
      <c r="M68" s="14">
        <f>IF(L68="","",L68+4)</f>
        <v/>
      </c>
      <c r="N68" s="13" t="n"/>
      <c r="O68" s="14">
        <f>IF(N68="","",N68+6)</f>
        <v/>
      </c>
      <c r="P68" s="13" t="n"/>
      <c r="Q68" s="13" t="n"/>
      <c r="R68" s="13" t="n"/>
      <c r="S68" s="13" t="n"/>
      <c r="T68" s="12" t="n"/>
      <c r="U68" s="12" t="n"/>
      <c r="V68" s="9" t="n"/>
      <c r="W68" s="13" t="n"/>
      <c r="X68" s="11">
        <f>IF(MAX(I68:L68,N68,P68:S68,AA68,AC68)=0,"",TODAY()-MAX(I68:L68,N68,P68:S68,AA68,AC68))</f>
        <v/>
      </c>
      <c r="Y68" s="9" t="n"/>
      <c r="Z68" s="11">
        <f>IFERROR(IF(INDEX(Leads!$X:$X,MATCH($A68,Leads!$A:$A,0))="","",INDEX(Leads!$X:$X,MATCH($A68,Leads!$A:$A,0))),"")</f>
        <v/>
      </c>
      <c r="AA68" s="13" t="n"/>
      <c r="AB68" s="14">
        <f>IF(AA68="","",AA68+5)</f>
        <v/>
      </c>
      <c r="AC68" s="13" t="n"/>
    </row>
    <row r="69">
      <c r="A69" s="11" t="inlineStr">
        <is>
          <t>G068</t>
        </is>
      </c>
      <c r="B69" s="11">
        <f>IFERROR(INDEX(Leads!$D:$D,MATCH($A69,Leads!$A:$A,0)),"")</f>
        <v/>
      </c>
      <c r="C69" s="11">
        <f>IFERROR(INDEX(Leads!$F:$F,MATCH($A69,Leads!$A:$A,0)),"")</f>
        <v/>
      </c>
      <c r="D69" s="11">
        <f>IFERROR(INDEX(Leads!$G:$G,MATCH($A69,Leads!$A:$A,0)),"")</f>
        <v/>
      </c>
      <c r="E69" s="11">
        <f>IFERROR(INDEX(Leads!$R:$R,MATCH($A69,Leads!$A:$A,0)),"")</f>
        <v/>
      </c>
      <c r="F69" s="11">
        <f>IFERROR(INDEX(Leads!$N:$N,MATCH($A69,Leads!$A:$A,0)),"")</f>
        <v/>
      </c>
      <c r="G69" s="11">
        <f>IFERROR(INDEX(Leads!$J:$J,MATCH($A69,Leads!$A:$A,0)),"")</f>
        <v/>
      </c>
      <c r="H69" s="12" t="inlineStr">
        <is>
          <t>Not started</t>
        </is>
      </c>
      <c r="I69" s="13" t="n"/>
      <c r="J69" s="13" t="n"/>
      <c r="K69" s="13" t="n"/>
      <c r="L69" s="13" t="n"/>
      <c r="M69" s="14">
        <f>IF(L69="","",L69+4)</f>
        <v/>
      </c>
      <c r="N69" s="13" t="n"/>
      <c r="O69" s="14">
        <f>IF(N69="","",N69+6)</f>
        <v/>
      </c>
      <c r="P69" s="13" t="n"/>
      <c r="Q69" s="13" t="n"/>
      <c r="R69" s="13" t="n"/>
      <c r="S69" s="13" t="n"/>
      <c r="T69" s="12" t="n"/>
      <c r="U69" s="12" t="n"/>
      <c r="V69" s="9" t="n"/>
      <c r="W69" s="13" t="n"/>
      <c r="X69" s="11">
        <f>IF(MAX(I69:L69,N69,P69:S69,AA69,AC69)=0,"",TODAY()-MAX(I69:L69,N69,P69:S69,AA69,AC69))</f>
        <v/>
      </c>
      <c r="Y69" s="9" t="n"/>
      <c r="Z69" s="11">
        <f>IFERROR(IF(INDEX(Leads!$X:$X,MATCH($A69,Leads!$A:$A,0))="","",INDEX(Leads!$X:$X,MATCH($A69,Leads!$A:$A,0))),"")</f>
        <v/>
      </c>
      <c r="AA69" s="13" t="n"/>
      <c r="AB69" s="14">
        <f>IF(AA69="","",AA69+5)</f>
        <v/>
      </c>
      <c r="AC69" s="13" t="n"/>
    </row>
    <row r="70">
      <c r="A70" s="11" t="inlineStr">
        <is>
          <t>G069</t>
        </is>
      </c>
      <c r="B70" s="11">
        <f>IFERROR(INDEX(Leads!$D:$D,MATCH($A70,Leads!$A:$A,0)),"")</f>
        <v/>
      </c>
      <c r="C70" s="11">
        <f>IFERROR(INDEX(Leads!$F:$F,MATCH($A70,Leads!$A:$A,0)),"")</f>
        <v/>
      </c>
      <c r="D70" s="11">
        <f>IFERROR(INDEX(Leads!$G:$G,MATCH($A70,Leads!$A:$A,0)),"")</f>
        <v/>
      </c>
      <c r="E70" s="11">
        <f>IFERROR(INDEX(Leads!$R:$R,MATCH($A70,Leads!$A:$A,0)),"")</f>
        <v/>
      </c>
      <c r="F70" s="11">
        <f>IFERROR(INDEX(Leads!$N:$N,MATCH($A70,Leads!$A:$A,0)),"")</f>
        <v/>
      </c>
      <c r="G70" s="11">
        <f>IFERROR(INDEX(Leads!$J:$J,MATCH($A70,Leads!$A:$A,0)),"")</f>
        <v/>
      </c>
      <c r="H70" s="12" t="inlineStr">
        <is>
          <t>Not started</t>
        </is>
      </c>
      <c r="I70" s="13" t="n"/>
      <c r="J70" s="13" t="n"/>
      <c r="K70" s="13" t="n"/>
      <c r="L70" s="13" t="n"/>
      <c r="M70" s="14">
        <f>IF(L70="","",L70+4)</f>
        <v/>
      </c>
      <c r="N70" s="13" t="n"/>
      <c r="O70" s="14">
        <f>IF(N70="","",N70+6)</f>
        <v/>
      </c>
      <c r="P70" s="13" t="n"/>
      <c r="Q70" s="13" t="n"/>
      <c r="R70" s="13" t="n"/>
      <c r="S70" s="13" t="n"/>
      <c r="T70" s="12" t="n"/>
      <c r="U70" s="12" t="n"/>
      <c r="V70" s="9" t="n"/>
      <c r="W70" s="13" t="n"/>
      <c r="X70" s="11">
        <f>IF(MAX(I70:L70,N70,P70:S70,AA70,AC70)=0,"",TODAY()-MAX(I70:L70,N70,P70:S70,AA70,AC70))</f>
        <v/>
      </c>
      <c r="Y70" s="9" t="n"/>
      <c r="Z70" s="11">
        <f>IFERROR(IF(INDEX(Leads!$X:$X,MATCH($A70,Leads!$A:$A,0))="","",INDEX(Leads!$X:$X,MATCH($A70,Leads!$A:$A,0))),"")</f>
        <v/>
      </c>
      <c r="AA70" s="13" t="n"/>
      <c r="AB70" s="14">
        <f>IF(AA70="","",AA70+5)</f>
        <v/>
      </c>
      <c r="AC70" s="13" t="n"/>
    </row>
    <row r="71">
      <c r="A71" s="11" t="inlineStr">
        <is>
          <t>G070</t>
        </is>
      </c>
      <c r="B71" s="11">
        <f>IFERROR(INDEX(Leads!$D:$D,MATCH($A71,Leads!$A:$A,0)),"")</f>
        <v/>
      </c>
      <c r="C71" s="11">
        <f>IFERROR(INDEX(Leads!$F:$F,MATCH($A71,Leads!$A:$A,0)),"")</f>
        <v/>
      </c>
      <c r="D71" s="11">
        <f>IFERROR(INDEX(Leads!$G:$G,MATCH($A71,Leads!$A:$A,0)),"")</f>
        <v/>
      </c>
      <c r="E71" s="11">
        <f>IFERROR(INDEX(Leads!$R:$R,MATCH($A71,Leads!$A:$A,0)),"")</f>
        <v/>
      </c>
      <c r="F71" s="11">
        <f>IFERROR(INDEX(Leads!$N:$N,MATCH($A71,Leads!$A:$A,0)),"")</f>
        <v/>
      </c>
      <c r="G71" s="11">
        <f>IFERROR(INDEX(Leads!$J:$J,MATCH($A71,Leads!$A:$A,0)),"")</f>
        <v/>
      </c>
      <c r="H71" s="12" t="inlineStr">
        <is>
          <t>Not started</t>
        </is>
      </c>
      <c r="I71" s="13" t="n"/>
      <c r="J71" s="13" t="n"/>
      <c r="K71" s="13" t="n"/>
      <c r="L71" s="13" t="n"/>
      <c r="M71" s="14">
        <f>IF(L71="","",L71+4)</f>
        <v/>
      </c>
      <c r="N71" s="13" t="n"/>
      <c r="O71" s="14">
        <f>IF(N71="","",N71+6)</f>
        <v/>
      </c>
      <c r="P71" s="13" t="n"/>
      <c r="Q71" s="13" t="n"/>
      <c r="R71" s="13" t="n"/>
      <c r="S71" s="13" t="n"/>
      <c r="T71" s="12" t="n"/>
      <c r="U71" s="12" t="n"/>
      <c r="V71" s="9" t="n"/>
      <c r="W71" s="13" t="n"/>
      <c r="X71" s="11">
        <f>IF(MAX(I71:L71,N71,P71:S71,AA71,AC71)=0,"",TODAY()-MAX(I71:L71,N71,P71:S71,AA71,AC71))</f>
        <v/>
      </c>
      <c r="Y71" s="9" t="n"/>
      <c r="Z71" s="11">
        <f>IFERROR(IF(INDEX(Leads!$X:$X,MATCH($A71,Leads!$A:$A,0))="","",INDEX(Leads!$X:$X,MATCH($A71,Leads!$A:$A,0))),"")</f>
        <v/>
      </c>
      <c r="AA71" s="13" t="n"/>
      <c r="AB71" s="14">
        <f>IF(AA71="","",AA71+5)</f>
        <v/>
      </c>
      <c r="AC71" s="13" t="n"/>
    </row>
    <row r="72">
      <c r="A72" s="11" t="inlineStr">
        <is>
          <t>G071</t>
        </is>
      </c>
      <c r="B72" s="11">
        <f>IFERROR(INDEX(Leads!$D:$D,MATCH($A72,Leads!$A:$A,0)),"")</f>
        <v/>
      </c>
      <c r="C72" s="11">
        <f>IFERROR(INDEX(Leads!$F:$F,MATCH($A72,Leads!$A:$A,0)),"")</f>
        <v/>
      </c>
      <c r="D72" s="11">
        <f>IFERROR(INDEX(Leads!$G:$G,MATCH($A72,Leads!$A:$A,0)),"")</f>
        <v/>
      </c>
      <c r="E72" s="11">
        <f>IFERROR(INDEX(Leads!$R:$R,MATCH($A72,Leads!$A:$A,0)),"")</f>
        <v/>
      </c>
      <c r="F72" s="11">
        <f>IFERROR(INDEX(Leads!$N:$N,MATCH($A72,Leads!$A:$A,0)),"")</f>
        <v/>
      </c>
      <c r="G72" s="11">
        <f>IFERROR(INDEX(Leads!$J:$J,MATCH($A72,Leads!$A:$A,0)),"")</f>
        <v/>
      </c>
      <c r="H72" s="12" t="inlineStr">
        <is>
          <t>Not started</t>
        </is>
      </c>
      <c r="I72" s="13" t="n"/>
      <c r="J72" s="13" t="n"/>
      <c r="K72" s="13" t="n"/>
      <c r="L72" s="13" t="n"/>
      <c r="M72" s="14">
        <f>IF(L72="","",L72+4)</f>
        <v/>
      </c>
      <c r="N72" s="13" t="n"/>
      <c r="O72" s="14">
        <f>IF(N72="","",N72+6)</f>
        <v/>
      </c>
      <c r="P72" s="13" t="n"/>
      <c r="Q72" s="13" t="n"/>
      <c r="R72" s="13" t="n"/>
      <c r="S72" s="13" t="n"/>
      <c r="T72" s="12" t="n"/>
      <c r="U72" s="12" t="n"/>
      <c r="V72" s="9" t="n"/>
      <c r="W72" s="13" t="n"/>
      <c r="X72" s="11">
        <f>IF(MAX(I72:L72,N72,P72:S72,AA72,AC72)=0,"",TODAY()-MAX(I72:L72,N72,P72:S72,AA72,AC72))</f>
        <v/>
      </c>
      <c r="Y72" s="9" t="n"/>
      <c r="Z72" s="11">
        <f>IFERROR(IF(INDEX(Leads!$X:$X,MATCH($A72,Leads!$A:$A,0))="","",INDEX(Leads!$X:$X,MATCH($A72,Leads!$A:$A,0))),"")</f>
        <v/>
      </c>
      <c r="AA72" s="13" t="n"/>
      <c r="AB72" s="14">
        <f>IF(AA72="","",AA72+5)</f>
        <v/>
      </c>
      <c r="AC72" s="13" t="n"/>
    </row>
    <row r="73">
      <c r="A73" s="11" t="inlineStr">
        <is>
          <t>G072</t>
        </is>
      </c>
      <c r="B73" s="11">
        <f>IFERROR(INDEX(Leads!$D:$D,MATCH($A73,Leads!$A:$A,0)),"")</f>
        <v/>
      </c>
      <c r="C73" s="11">
        <f>IFERROR(INDEX(Leads!$F:$F,MATCH($A73,Leads!$A:$A,0)),"")</f>
        <v/>
      </c>
      <c r="D73" s="11">
        <f>IFERROR(INDEX(Leads!$G:$G,MATCH($A73,Leads!$A:$A,0)),"")</f>
        <v/>
      </c>
      <c r="E73" s="11">
        <f>IFERROR(INDEX(Leads!$R:$R,MATCH($A73,Leads!$A:$A,0)),"")</f>
        <v/>
      </c>
      <c r="F73" s="11">
        <f>IFERROR(INDEX(Leads!$N:$N,MATCH($A73,Leads!$A:$A,0)),"")</f>
        <v/>
      </c>
      <c r="G73" s="11">
        <f>IFERROR(INDEX(Leads!$J:$J,MATCH($A73,Leads!$A:$A,0)),"")</f>
        <v/>
      </c>
      <c r="H73" s="12" t="inlineStr">
        <is>
          <t>Not started</t>
        </is>
      </c>
      <c r="I73" s="13" t="n"/>
      <c r="J73" s="13" t="n"/>
      <c r="K73" s="13" t="n"/>
      <c r="L73" s="13" t="n"/>
      <c r="M73" s="14">
        <f>IF(L73="","",L73+4)</f>
        <v/>
      </c>
      <c r="N73" s="13" t="n"/>
      <c r="O73" s="14">
        <f>IF(N73="","",N73+6)</f>
        <v/>
      </c>
      <c r="P73" s="13" t="n"/>
      <c r="Q73" s="13" t="n"/>
      <c r="R73" s="13" t="n"/>
      <c r="S73" s="13" t="n"/>
      <c r="T73" s="12" t="n"/>
      <c r="U73" s="12" t="n"/>
      <c r="V73" s="9" t="n"/>
      <c r="W73" s="13" t="n"/>
      <c r="X73" s="11">
        <f>IF(MAX(I73:L73,N73,P73:S73,AA73,AC73)=0,"",TODAY()-MAX(I73:L73,N73,P73:S73,AA73,AC73))</f>
        <v/>
      </c>
      <c r="Y73" s="9" t="n"/>
      <c r="Z73" s="11">
        <f>IFERROR(IF(INDEX(Leads!$X:$X,MATCH($A73,Leads!$A:$A,0))="","",INDEX(Leads!$X:$X,MATCH($A73,Leads!$A:$A,0))),"")</f>
        <v/>
      </c>
      <c r="AA73" s="13" t="n"/>
      <c r="AB73" s="14">
        <f>IF(AA73="","",AA73+5)</f>
        <v/>
      </c>
      <c r="AC73" s="13" t="n"/>
    </row>
    <row r="74">
      <c r="A74" s="11" t="inlineStr">
        <is>
          <t>G073</t>
        </is>
      </c>
      <c r="B74" s="11">
        <f>IFERROR(INDEX(Leads!$D:$D,MATCH($A74,Leads!$A:$A,0)),"")</f>
        <v/>
      </c>
      <c r="C74" s="11">
        <f>IFERROR(INDEX(Leads!$F:$F,MATCH($A74,Leads!$A:$A,0)),"")</f>
        <v/>
      </c>
      <c r="D74" s="11">
        <f>IFERROR(INDEX(Leads!$G:$G,MATCH($A74,Leads!$A:$A,0)),"")</f>
        <v/>
      </c>
      <c r="E74" s="11">
        <f>IFERROR(INDEX(Leads!$R:$R,MATCH($A74,Leads!$A:$A,0)),"")</f>
        <v/>
      </c>
      <c r="F74" s="11">
        <f>IFERROR(INDEX(Leads!$N:$N,MATCH($A74,Leads!$A:$A,0)),"")</f>
        <v/>
      </c>
      <c r="G74" s="11">
        <f>IFERROR(INDEX(Leads!$J:$J,MATCH($A74,Leads!$A:$A,0)),"")</f>
        <v/>
      </c>
      <c r="H74" s="12" t="inlineStr">
        <is>
          <t>Not started</t>
        </is>
      </c>
      <c r="I74" s="13" t="n"/>
      <c r="J74" s="13" t="n"/>
      <c r="K74" s="13" t="n"/>
      <c r="L74" s="13" t="n"/>
      <c r="M74" s="14">
        <f>IF(L74="","",L74+4)</f>
        <v/>
      </c>
      <c r="N74" s="13" t="n"/>
      <c r="O74" s="14">
        <f>IF(N74="","",N74+6)</f>
        <v/>
      </c>
      <c r="P74" s="13" t="n"/>
      <c r="Q74" s="13" t="n"/>
      <c r="R74" s="13" t="n"/>
      <c r="S74" s="13" t="n"/>
      <c r="T74" s="12" t="n"/>
      <c r="U74" s="12" t="n"/>
      <c r="V74" s="9" t="n"/>
      <c r="W74" s="13" t="n"/>
      <c r="X74" s="11">
        <f>IF(MAX(I74:L74,N74,P74:S74,AA74,AC74)=0,"",TODAY()-MAX(I74:L74,N74,P74:S74,AA74,AC74))</f>
        <v/>
      </c>
      <c r="Y74" s="9" t="n"/>
      <c r="Z74" s="11">
        <f>IFERROR(IF(INDEX(Leads!$X:$X,MATCH($A74,Leads!$A:$A,0))="","",INDEX(Leads!$X:$X,MATCH($A74,Leads!$A:$A,0))),"")</f>
        <v/>
      </c>
      <c r="AA74" s="13" t="n"/>
      <c r="AB74" s="14">
        <f>IF(AA74="","",AA74+5)</f>
        <v/>
      </c>
      <c r="AC74" s="13" t="n"/>
    </row>
    <row r="75">
      <c r="A75" s="11" t="inlineStr">
        <is>
          <t>G074</t>
        </is>
      </c>
      <c r="B75" s="11">
        <f>IFERROR(INDEX(Leads!$D:$D,MATCH($A75,Leads!$A:$A,0)),"")</f>
        <v/>
      </c>
      <c r="C75" s="11">
        <f>IFERROR(INDEX(Leads!$F:$F,MATCH($A75,Leads!$A:$A,0)),"")</f>
        <v/>
      </c>
      <c r="D75" s="11">
        <f>IFERROR(INDEX(Leads!$G:$G,MATCH($A75,Leads!$A:$A,0)),"")</f>
        <v/>
      </c>
      <c r="E75" s="11">
        <f>IFERROR(INDEX(Leads!$R:$R,MATCH($A75,Leads!$A:$A,0)),"")</f>
        <v/>
      </c>
      <c r="F75" s="11">
        <f>IFERROR(INDEX(Leads!$N:$N,MATCH($A75,Leads!$A:$A,0)),"")</f>
        <v/>
      </c>
      <c r="G75" s="11">
        <f>IFERROR(INDEX(Leads!$J:$J,MATCH($A75,Leads!$A:$A,0)),"")</f>
        <v/>
      </c>
      <c r="H75" s="12" t="inlineStr">
        <is>
          <t>Not started</t>
        </is>
      </c>
      <c r="I75" s="13" t="n"/>
      <c r="J75" s="13" t="n"/>
      <c r="K75" s="13" t="n"/>
      <c r="L75" s="13" t="n"/>
      <c r="M75" s="14">
        <f>IF(L75="","",L75+4)</f>
        <v/>
      </c>
      <c r="N75" s="13" t="n"/>
      <c r="O75" s="14">
        <f>IF(N75="","",N75+6)</f>
        <v/>
      </c>
      <c r="P75" s="13" t="n"/>
      <c r="Q75" s="13" t="n"/>
      <c r="R75" s="13" t="n"/>
      <c r="S75" s="13" t="n"/>
      <c r="T75" s="12" t="n"/>
      <c r="U75" s="12" t="n"/>
      <c r="V75" s="9" t="n"/>
      <c r="W75" s="13" t="n"/>
      <c r="X75" s="11">
        <f>IF(MAX(I75:L75,N75,P75:S75,AA75,AC75)=0,"",TODAY()-MAX(I75:L75,N75,P75:S75,AA75,AC75))</f>
        <v/>
      </c>
      <c r="Y75" s="9" t="n"/>
      <c r="Z75" s="11">
        <f>IFERROR(IF(INDEX(Leads!$X:$X,MATCH($A75,Leads!$A:$A,0))="","",INDEX(Leads!$X:$X,MATCH($A75,Leads!$A:$A,0))),"")</f>
        <v/>
      </c>
      <c r="AA75" s="13" t="n"/>
      <c r="AB75" s="14">
        <f>IF(AA75="","",AA75+5)</f>
        <v/>
      </c>
      <c r="AC75" s="13" t="n"/>
    </row>
    <row r="76">
      <c r="A76" s="11" t="inlineStr">
        <is>
          <t>G075</t>
        </is>
      </c>
      <c r="B76" s="11">
        <f>IFERROR(INDEX(Leads!$D:$D,MATCH($A76,Leads!$A:$A,0)),"")</f>
        <v/>
      </c>
      <c r="C76" s="11">
        <f>IFERROR(INDEX(Leads!$F:$F,MATCH($A76,Leads!$A:$A,0)),"")</f>
        <v/>
      </c>
      <c r="D76" s="11">
        <f>IFERROR(INDEX(Leads!$G:$G,MATCH($A76,Leads!$A:$A,0)),"")</f>
        <v/>
      </c>
      <c r="E76" s="11">
        <f>IFERROR(INDEX(Leads!$R:$R,MATCH($A76,Leads!$A:$A,0)),"")</f>
        <v/>
      </c>
      <c r="F76" s="11">
        <f>IFERROR(INDEX(Leads!$N:$N,MATCH($A76,Leads!$A:$A,0)),"")</f>
        <v/>
      </c>
      <c r="G76" s="11">
        <f>IFERROR(INDEX(Leads!$J:$J,MATCH($A76,Leads!$A:$A,0)),"")</f>
        <v/>
      </c>
      <c r="H76" s="12" t="inlineStr">
        <is>
          <t>Not started</t>
        </is>
      </c>
      <c r="I76" s="13" t="n"/>
      <c r="J76" s="13" t="n"/>
      <c r="K76" s="13" t="n"/>
      <c r="L76" s="13" t="n"/>
      <c r="M76" s="14">
        <f>IF(L76="","",L76+4)</f>
        <v/>
      </c>
      <c r="N76" s="13" t="n"/>
      <c r="O76" s="14">
        <f>IF(N76="","",N76+6)</f>
        <v/>
      </c>
      <c r="P76" s="13" t="n"/>
      <c r="Q76" s="13" t="n"/>
      <c r="R76" s="13" t="n"/>
      <c r="S76" s="13" t="n"/>
      <c r="T76" s="12" t="n"/>
      <c r="U76" s="12" t="n"/>
      <c r="V76" s="9" t="n"/>
      <c r="W76" s="13" t="n"/>
      <c r="X76" s="11">
        <f>IF(MAX(I76:L76,N76,P76:S76,AA76,AC76)=0,"",TODAY()-MAX(I76:L76,N76,P76:S76,AA76,AC76))</f>
        <v/>
      </c>
      <c r="Y76" s="9" t="n"/>
      <c r="Z76" s="11">
        <f>IFERROR(IF(INDEX(Leads!$X:$X,MATCH($A76,Leads!$A:$A,0))="","",INDEX(Leads!$X:$X,MATCH($A76,Leads!$A:$A,0))),"")</f>
        <v/>
      </c>
      <c r="AA76" s="13" t="n"/>
      <c r="AB76" s="14">
        <f>IF(AA76="","",AA76+5)</f>
        <v/>
      </c>
      <c r="AC76" s="13" t="n"/>
    </row>
    <row r="77">
      <c r="A77" s="11" t="inlineStr">
        <is>
          <t>G076</t>
        </is>
      </c>
      <c r="B77" s="11">
        <f>IFERROR(INDEX(Leads!$D:$D,MATCH($A77,Leads!$A:$A,0)),"")</f>
        <v/>
      </c>
      <c r="C77" s="11">
        <f>IFERROR(INDEX(Leads!$F:$F,MATCH($A77,Leads!$A:$A,0)),"")</f>
        <v/>
      </c>
      <c r="D77" s="11">
        <f>IFERROR(INDEX(Leads!$G:$G,MATCH($A77,Leads!$A:$A,0)),"")</f>
        <v/>
      </c>
      <c r="E77" s="11">
        <f>IFERROR(INDEX(Leads!$R:$R,MATCH($A77,Leads!$A:$A,0)),"")</f>
        <v/>
      </c>
      <c r="F77" s="11">
        <f>IFERROR(INDEX(Leads!$N:$N,MATCH($A77,Leads!$A:$A,0)),"")</f>
        <v/>
      </c>
      <c r="G77" s="11">
        <f>IFERROR(INDEX(Leads!$J:$J,MATCH($A77,Leads!$A:$A,0)),"")</f>
        <v/>
      </c>
      <c r="H77" s="12" t="inlineStr">
        <is>
          <t>Not started</t>
        </is>
      </c>
      <c r="I77" s="13" t="n"/>
      <c r="J77" s="13" t="n"/>
      <c r="K77" s="13" t="n"/>
      <c r="L77" s="13" t="n"/>
      <c r="M77" s="14">
        <f>IF(L77="","",L77+4)</f>
        <v/>
      </c>
      <c r="N77" s="13" t="n"/>
      <c r="O77" s="14">
        <f>IF(N77="","",N77+6)</f>
        <v/>
      </c>
      <c r="P77" s="13" t="n"/>
      <c r="Q77" s="13" t="n"/>
      <c r="R77" s="13" t="n"/>
      <c r="S77" s="13" t="n"/>
      <c r="T77" s="12" t="n"/>
      <c r="U77" s="12" t="n"/>
      <c r="V77" s="9" t="n"/>
      <c r="W77" s="13" t="n"/>
      <c r="X77" s="11">
        <f>IF(MAX(I77:L77,N77,P77:S77,AA77,AC77)=0,"",TODAY()-MAX(I77:L77,N77,P77:S77,AA77,AC77))</f>
        <v/>
      </c>
      <c r="Y77" s="9" t="n"/>
      <c r="Z77" s="11">
        <f>IFERROR(IF(INDEX(Leads!$X:$X,MATCH($A77,Leads!$A:$A,0))="","",INDEX(Leads!$X:$X,MATCH($A77,Leads!$A:$A,0))),"")</f>
        <v/>
      </c>
      <c r="AA77" s="13" t="n"/>
      <c r="AB77" s="14">
        <f>IF(AA77="","",AA77+5)</f>
        <v/>
      </c>
      <c r="AC77" s="13" t="n"/>
    </row>
    <row r="78">
      <c r="A78" s="11" t="inlineStr">
        <is>
          <t>G077</t>
        </is>
      </c>
      <c r="B78" s="11">
        <f>IFERROR(INDEX(Leads!$D:$D,MATCH($A78,Leads!$A:$A,0)),"")</f>
        <v/>
      </c>
      <c r="C78" s="11">
        <f>IFERROR(INDEX(Leads!$F:$F,MATCH($A78,Leads!$A:$A,0)),"")</f>
        <v/>
      </c>
      <c r="D78" s="11">
        <f>IFERROR(INDEX(Leads!$G:$G,MATCH($A78,Leads!$A:$A,0)),"")</f>
        <v/>
      </c>
      <c r="E78" s="11">
        <f>IFERROR(INDEX(Leads!$R:$R,MATCH($A78,Leads!$A:$A,0)),"")</f>
        <v/>
      </c>
      <c r="F78" s="11">
        <f>IFERROR(INDEX(Leads!$N:$N,MATCH($A78,Leads!$A:$A,0)),"")</f>
        <v/>
      </c>
      <c r="G78" s="11">
        <f>IFERROR(INDEX(Leads!$J:$J,MATCH($A78,Leads!$A:$A,0)),"")</f>
        <v/>
      </c>
      <c r="H78" s="12" t="inlineStr">
        <is>
          <t>Not started</t>
        </is>
      </c>
      <c r="I78" s="13" t="n"/>
      <c r="J78" s="13" t="n"/>
      <c r="K78" s="13" t="n"/>
      <c r="L78" s="13" t="n"/>
      <c r="M78" s="14">
        <f>IF(L78="","",L78+4)</f>
        <v/>
      </c>
      <c r="N78" s="13" t="n"/>
      <c r="O78" s="14">
        <f>IF(N78="","",N78+6)</f>
        <v/>
      </c>
      <c r="P78" s="13" t="n"/>
      <c r="Q78" s="13" t="n"/>
      <c r="R78" s="13" t="n"/>
      <c r="S78" s="13" t="n"/>
      <c r="T78" s="12" t="n"/>
      <c r="U78" s="12" t="n"/>
      <c r="V78" s="9" t="n"/>
      <c r="W78" s="13" t="n"/>
      <c r="X78" s="11">
        <f>IF(MAX(I78:L78,N78,P78:S78,AA78,AC78)=0,"",TODAY()-MAX(I78:L78,N78,P78:S78,AA78,AC78))</f>
        <v/>
      </c>
      <c r="Y78" s="9" t="n"/>
      <c r="Z78" s="11">
        <f>IFERROR(IF(INDEX(Leads!$X:$X,MATCH($A78,Leads!$A:$A,0))="","",INDEX(Leads!$X:$X,MATCH($A78,Leads!$A:$A,0))),"")</f>
        <v/>
      </c>
      <c r="AA78" s="13" t="n"/>
      <c r="AB78" s="14">
        <f>IF(AA78="","",AA78+5)</f>
        <v/>
      </c>
      <c r="AC78" s="13" t="n"/>
    </row>
    <row r="79">
      <c r="A79" s="11" t="inlineStr">
        <is>
          <t>G078</t>
        </is>
      </c>
      <c r="B79" s="11">
        <f>IFERROR(INDEX(Leads!$D:$D,MATCH($A79,Leads!$A:$A,0)),"")</f>
        <v/>
      </c>
      <c r="C79" s="11">
        <f>IFERROR(INDEX(Leads!$F:$F,MATCH($A79,Leads!$A:$A,0)),"")</f>
        <v/>
      </c>
      <c r="D79" s="11">
        <f>IFERROR(INDEX(Leads!$G:$G,MATCH($A79,Leads!$A:$A,0)),"")</f>
        <v/>
      </c>
      <c r="E79" s="11">
        <f>IFERROR(INDEX(Leads!$R:$R,MATCH($A79,Leads!$A:$A,0)),"")</f>
        <v/>
      </c>
      <c r="F79" s="11">
        <f>IFERROR(INDEX(Leads!$N:$N,MATCH($A79,Leads!$A:$A,0)),"")</f>
        <v/>
      </c>
      <c r="G79" s="11">
        <f>IFERROR(INDEX(Leads!$J:$J,MATCH($A79,Leads!$A:$A,0)),"")</f>
        <v/>
      </c>
      <c r="H79" s="12" t="inlineStr">
        <is>
          <t>Not started</t>
        </is>
      </c>
      <c r="I79" s="13" t="n"/>
      <c r="J79" s="13" t="n"/>
      <c r="K79" s="13" t="n"/>
      <c r="L79" s="13" t="n"/>
      <c r="M79" s="14">
        <f>IF(L79="","",L79+4)</f>
        <v/>
      </c>
      <c r="N79" s="13" t="n"/>
      <c r="O79" s="14">
        <f>IF(N79="","",N79+6)</f>
        <v/>
      </c>
      <c r="P79" s="13" t="n"/>
      <c r="Q79" s="13" t="n"/>
      <c r="R79" s="13" t="n"/>
      <c r="S79" s="13" t="n"/>
      <c r="T79" s="12" t="n"/>
      <c r="U79" s="12" t="n"/>
      <c r="V79" s="9" t="n"/>
      <c r="W79" s="13" t="n"/>
      <c r="X79" s="11">
        <f>IF(MAX(I79:L79,N79,P79:S79,AA79,AC79)=0,"",TODAY()-MAX(I79:L79,N79,P79:S79,AA79,AC79))</f>
        <v/>
      </c>
      <c r="Y79" s="9" t="n"/>
      <c r="Z79" s="11">
        <f>IFERROR(IF(INDEX(Leads!$X:$X,MATCH($A79,Leads!$A:$A,0))="","",INDEX(Leads!$X:$X,MATCH($A79,Leads!$A:$A,0))),"")</f>
        <v/>
      </c>
      <c r="AA79" s="13" t="n"/>
      <c r="AB79" s="14">
        <f>IF(AA79="","",AA79+5)</f>
        <v/>
      </c>
      <c r="AC79" s="13" t="n"/>
    </row>
    <row r="80">
      <c r="A80" s="11" t="inlineStr">
        <is>
          <t>G079</t>
        </is>
      </c>
      <c r="B80" s="11">
        <f>IFERROR(INDEX(Leads!$D:$D,MATCH($A80,Leads!$A:$A,0)),"")</f>
        <v/>
      </c>
      <c r="C80" s="11">
        <f>IFERROR(INDEX(Leads!$F:$F,MATCH($A80,Leads!$A:$A,0)),"")</f>
        <v/>
      </c>
      <c r="D80" s="11">
        <f>IFERROR(INDEX(Leads!$G:$G,MATCH($A80,Leads!$A:$A,0)),"")</f>
        <v/>
      </c>
      <c r="E80" s="11">
        <f>IFERROR(INDEX(Leads!$R:$R,MATCH($A80,Leads!$A:$A,0)),"")</f>
        <v/>
      </c>
      <c r="F80" s="11">
        <f>IFERROR(INDEX(Leads!$N:$N,MATCH($A80,Leads!$A:$A,0)),"")</f>
        <v/>
      </c>
      <c r="G80" s="11">
        <f>IFERROR(INDEX(Leads!$J:$J,MATCH($A80,Leads!$A:$A,0)),"")</f>
        <v/>
      </c>
      <c r="H80" s="12" t="inlineStr">
        <is>
          <t>Not started</t>
        </is>
      </c>
      <c r="I80" s="13" t="n"/>
      <c r="J80" s="13" t="n"/>
      <c r="K80" s="13" t="n"/>
      <c r="L80" s="13" t="n"/>
      <c r="M80" s="14">
        <f>IF(L80="","",L80+4)</f>
        <v/>
      </c>
      <c r="N80" s="13" t="n"/>
      <c r="O80" s="14">
        <f>IF(N80="","",N80+6)</f>
        <v/>
      </c>
      <c r="P80" s="13" t="n"/>
      <c r="Q80" s="13" t="n"/>
      <c r="R80" s="13" t="n"/>
      <c r="S80" s="13" t="n"/>
      <c r="T80" s="12" t="n"/>
      <c r="U80" s="12" t="n"/>
      <c r="V80" s="9" t="n"/>
      <c r="W80" s="13" t="n"/>
      <c r="X80" s="11">
        <f>IF(MAX(I80:L80,N80,P80:S80,AA80,AC80)=0,"",TODAY()-MAX(I80:L80,N80,P80:S80,AA80,AC80))</f>
        <v/>
      </c>
      <c r="Y80" s="9" t="n"/>
      <c r="Z80" s="11">
        <f>IFERROR(IF(INDEX(Leads!$X:$X,MATCH($A80,Leads!$A:$A,0))="","",INDEX(Leads!$X:$X,MATCH($A80,Leads!$A:$A,0))),"")</f>
        <v/>
      </c>
      <c r="AA80" s="13" t="n"/>
      <c r="AB80" s="14">
        <f>IF(AA80="","",AA80+5)</f>
        <v/>
      </c>
      <c r="AC80" s="13" t="n"/>
    </row>
    <row r="81">
      <c r="A81" s="11" t="inlineStr">
        <is>
          <t>G080</t>
        </is>
      </c>
      <c r="B81" s="11">
        <f>IFERROR(INDEX(Leads!$D:$D,MATCH($A81,Leads!$A:$A,0)),"")</f>
        <v/>
      </c>
      <c r="C81" s="11">
        <f>IFERROR(INDEX(Leads!$F:$F,MATCH($A81,Leads!$A:$A,0)),"")</f>
        <v/>
      </c>
      <c r="D81" s="11">
        <f>IFERROR(INDEX(Leads!$G:$G,MATCH($A81,Leads!$A:$A,0)),"")</f>
        <v/>
      </c>
      <c r="E81" s="11">
        <f>IFERROR(INDEX(Leads!$R:$R,MATCH($A81,Leads!$A:$A,0)),"")</f>
        <v/>
      </c>
      <c r="F81" s="11">
        <f>IFERROR(INDEX(Leads!$N:$N,MATCH($A81,Leads!$A:$A,0)),"")</f>
        <v/>
      </c>
      <c r="G81" s="11">
        <f>IFERROR(INDEX(Leads!$J:$J,MATCH($A81,Leads!$A:$A,0)),"")</f>
        <v/>
      </c>
      <c r="H81" s="12" t="inlineStr">
        <is>
          <t>Not started</t>
        </is>
      </c>
      <c r="I81" s="13" t="n"/>
      <c r="J81" s="13" t="n"/>
      <c r="K81" s="13" t="n"/>
      <c r="L81" s="13" t="n"/>
      <c r="M81" s="14">
        <f>IF(L81="","",L81+4)</f>
        <v/>
      </c>
      <c r="N81" s="13" t="n"/>
      <c r="O81" s="14">
        <f>IF(N81="","",N81+6)</f>
        <v/>
      </c>
      <c r="P81" s="13" t="n"/>
      <c r="Q81" s="13" t="n"/>
      <c r="R81" s="13" t="n"/>
      <c r="S81" s="13" t="n"/>
      <c r="T81" s="12" t="n"/>
      <c r="U81" s="12" t="n"/>
      <c r="V81" s="9" t="n"/>
      <c r="W81" s="13" t="n"/>
      <c r="X81" s="11">
        <f>IF(MAX(I81:L81,N81,P81:S81,AA81,AC81)=0,"",TODAY()-MAX(I81:L81,N81,P81:S81,AA81,AC81))</f>
        <v/>
      </c>
      <c r="Y81" s="9" t="n"/>
      <c r="Z81" s="11">
        <f>IFERROR(IF(INDEX(Leads!$X:$X,MATCH($A81,Leads!$A:$A,0))="","",INDEX(Leads!$X:$X,MATCH($A81,Leads!$A:$A,0))),"")</f>
        <v/>
      </c>
      <c r="AA81" s="13" t="n"/>
      <c r="AB81" s="14">
        <f>IF(AA81="","",AA81+5)</f>
        <v/>
      </c>
      <c r="AC81" s="13" t="n"/>
    </row>
    <row r="82">
      <c r="A82" s="11" t="inlineStr">
        <is>
          <t>G081</t>
        </is>
      </c>
      <c r="B82" s="11">
        <f>IFERROR(INDEX(Leads!$D:$D,MATCH($A82,Leads!$A:$A,0)),"")</f>
        <v/>
      </c>
      <c r="C82" s="11">
        <f>IFERROR(INDEX(Leads!$F:$F,MATCH($A82,Leads!$A:$A,0)),"")</f>
        <v/>
      </c>
      <c r="D82" s="11">
        <f>IFERROR(INDEX(Leads!$G:$G,MATCH($A82,Leads!$A:$A,0)),"")</f>
        <v/>
      </c>
      <c r="E82" s="11">
        <f>IFERROR(INDEX(Leads!$R:$R,MATCH($A82,Leads!$A:$A,0)),"")</f>
        <v/>
      </c>
      <c r="F82" s="11">
        <f>IFERROR(INDEX(Leads!$N:$N,MATCH($A82,Leads!$A:$A,0)),"")</f>
        <v/>
      </c>
      <c r="G82" s="11">
        <f>IFERROR(INDEX(Leads!$J:$J,MATCH($A82,Leads!$A:$A,0)),"")</f>
        <v/>
      </c>
      <c r="H82" s="12" t="inlineStr">
        <is>
          <t>Not started</t>
        </is>
      </c>
      <c r="I82" s="13" t="n"/>
      <c r="J82" s="13" t="n"/>
      <c r="K82" s="13" t="n"/>
      <c r="L82" s="13" t="n"/>
      <c r="M82" s="14">
        <f>IF(L82="","",L82+4)</f>
        <v/>
      </c>
      <c r="N82" s="13" t="n"/>
      <c r="O82" s="14">
        <f>IF(N82="","",N82+6)</f>
        <v/>
      </c>
      <c r="P82" s="13" t="n"/>
      <c r="Q82" s="13" t="n"/>
      <c r="R82" s="13" t="n"/>
      <c r="S82" s="13" t="n"/>
      <c r="T82" s="12" t="n"/>
      <c r="U82" s="12" t="n"/>
      <c r="V82" s="9" t="n"/>
      <c r="W82" s="13" t="n"/>
      <c r="X82" s="11">
        <f>IF(MAX(I82:L82,N82,P82:S82,AA82,AC82)=0,"",TODAY()-MAX(I82:L82,N82,P82:S82,AA82,AC82))</f>
        <v/>
      </c>
      <c r="Y82" s="9" t="n"/>
      <c r="Z82" s="11">
        <f>IFERROR(IF(INDEX(Leads!$X:$X,MATCH($A82,Leads!$A:$A,0))="","",INDEX(Leads!$X:$X,MATCH($A82,Leads!$A:$A,0))),"")</f>
        <v/>
      </c>
      <c r="AA82" s="13" t="n"/>
      <c r="AB82" s="14">
        <f>IF(AA82="","",AA82+5)</f>
        <v/>
      </c>
      <c r="AC82" s="13" t="n"/>
    </row>
    <row r="83">
      <c r="A83" s="11" t="inlineStr">
        <is>
          <t>G082</t>
        </is>
      </c>
      <c r="B83" s="11">
        <f>IFERROR(INDEX(Leads!$D:$D,MATCH($A83,Leads!$A:$A,0)),"")</f>
        <v/>
      </c>
      <c r="C83" s="11">
        <f>IFERROR(INDEX(Leads!$F:$F,MATCH($A83,Leads!$A:$A,0)),"")</f>
        <v/>
      </c>
      <c r="D83" s="11">
        <f>IFERROR(INDEX(Leads!$G:$G,MATCH($A83,Leads!$A:$A,0)),"")</f>
        <v/>
      </c>
      <c r="E83" s="11">
        <f>IFERROR(INDEX(Leads!$R:$R,MATCH($A83,Leads!$A:$A,0)),"")</f>
        <v/>
      </c>
      <c r="F83" s="11">
        <f>IFERROR(INDEX(Leads!$N:$N,MATCH($A83,Leads!$A:$A,0)),"")</f>
        <v/>
      </c>
      <c r="G83" s="11">
        <f>IFERROR(INDEX(Leads!$J:$J,MATCH($A83,Leads!$A:$A,0)),"")</f>
        <v/>
      </c>
      <c r="H83" s="12" t="inlineStr">
        <is>
          <t>Not started</t>
        </is>
      </c>
      <c r="I83" s="13" t="n"/>
      <c r="J83" s="13" t="n"/>
      <c r="K83" s="13" t="n"/>
      <c r="L83" s="13" t="n"/>
      <c r="M83" s="14">
        <f>IF(L83="","",L83+4)</f>
        <v/>
      </c>
      <c r="N83" s="13" t="n"/>
      <c r="O83" s="14">
        <f>IF(N83="","",N83+6)</f>
        <v/>
      </c>
      <c r="P83" s="13" t="n"/>
      <c r="Q83" s="13" t="n"/>
      <c r="R83" s="13" t="n"/>
      <c r="S83" s="13" t="n"/>
      <c r="T83" s="12" t="n"/>
      <c r="U83" s="12" t="n"/>
      <c r="V83" s="9" t="n"/>
      <c r="W83" s="13" t="n"/>
      <c r="X83" s="11">
        <f>IF(MAX(I83:L83,N83,P83:S83,AA83,AC83)=0,"",TODAY()-MAX(I83:L83,N83,P83:S83,AA83,AC83))</f>
        <v/>
      </c>
      <c r="Y83" s="9" t="n"/>
      <c r="Z83" s="11">
        <f>IFERROR(IF(INDEX(Leads!$X:$X,MATCH($A83,Leads!$A:$A,0))="","",INDEX(Leads!$X:$X,MATCH($A83,Leads!$A:$A,0))),"")</f>
        <v/>
      </c>
      <c r="AA83" s="13" t="n"/>
      <c r="AB83" s="14">
        <f>IF(AA83="","",AA83+5)</f>
        <v/>
      </c>
      <c r="AC83" s="13" t="n"/>
    </row>
    <row r="84">
      <c r="A84" s="11" t="inlineStr">
        <is>
          <t>G083</t>
        </is>
      </c>
      <c r="B84" s="11">
        <f>IFERROR(INDEX(Leads!$D:$D,MATCH($A84,Leads!$A:$A,0)),"")</f>
        <v/>
      </c>
      <c r="C84" s="11">
        <f>IFERROR(INDEX(Leads!$F:$F,MATCH($A84,Leads!$A:$A,0)),"")</f>
        <v/>
      </c>
      <c r="D84" s="11">
        <f>IFERROR(INDEX(Leads!$G:$G,MATCH($A84,Leads!$A:$A,0)),"")</f>
        <v/>
      </c>
      <c r="E84" s="11">
        <f>IFERROR(INDEX(Leads!$R:$R,MATCH($A84,Leads!$A:$A,0)),"")</f>
        <v/>
      </c>
      <c r="F84" s="11">
        <f>IFERROR(INDEX(Leads!$N:$N,MATCH($A84,Leads!$A:$A,0)),"")</f>
        <v/>
      </c>
      <c r="G84" s="11">
        <f>IFERROR(INDEX(Leads!$J:$J,MATCH($A84,Leads!$A:$A,0)),"")</f>
        <v/>
      </c>
      <c r="H84" s="12" t="inlineStr">
        <is>
          <t>Not started</t>
        </is>
      </c>
      <c r="I84" s="13" t="n"/>
      <c r="J84" s="13" t="n"/>
      <c r="K84" s="13" t="n"/>
      <c r="L84" s="13" t="n"/>
      <c r="M84" s="14">
        <f>IF(L84="","",L84+4)</f>
        <v/>
      </c>
      <c r="N84" s="13" t="n"/>
      <c r="O84" s="14">
        <f>IF(N84="","",N84+6)</f>
        <v/>
      </c>
      <c r="P84" s="13" t="n"/>
      <c r="Q84" s="13" t="n"/>
      <c r="R84" s="13" t="n"/>
      <c r="S84" s="13" t="n"/>
      <c r="T84" s="12" t="n"/>
      <c r="U84" s="12" t="n"/>
      <c r="V84" s="9" t="n"/>
      <c r="W84" s="13" t="n"/>
      <c r="X84" s="11">
        <f>IF(MAX(I84:L84,N84,P84:S84,AA84,AC84)=0,"",TODAY()-MAX(I84:L84,N84,P84:S84,AA84,AC84))</f>
        <v/>
      </c>
      <c r="Y84" s="9" t="n"/>
      <c r="Z84" s="11">
        <f>IFERROR(IF(INDEX(Leads!$X:$X,MATCH($A84,Leads!$A:$A,0))="","",INDEX(Leads!$X:$X,MATCH($A84,Leads!$A:$A,0))),"")</f>
        <v/>
      </c>
      <c r="AA84" s="13" t="n"/>
      <c r="AB84" s="14">
        <f>IF(AA84="","",AA84+5)</f>
        <v/>
      </c>
      <c r="AC84" s="13" t="n"/>
    </row>
    <row r="85">
      <c r="A85" s="11" t="inlineStr">
        <is>
          <t>G084</t>
        </is>
      </c>
      <c r="B85" s="11">
        <f>IFERROR(INDEX(Leads!$D:$D,MATCH($A85,Leads!$A:$A,0)),"")</f>
        <v/>
      </c>
      <c r="C85" s="11">
        <f>IFERROR(INDEX(Leads!$F:$F,MATCH($A85,Leads!$A:$A,0)),"")</f>
        <v/>
      </c>
      <c r="D85" s="11">
        <f>IFERROR(INDEX(Leads!$G:$G,MATCH($A85,Leads!$A:$A,0)),"")</f>
        <v/>
      </c>
      <c r="E85" s="11">
        <f>IFERROR(INDEX(Leads!$R:$R,MATCH($A85,Leads!$A:$A,0)),"")</f>
        <v/>
      </c>
      <c r="F85" s="11">
        <f>IFERROR(INDEX(Leads!$N:$N,MATCH($A85,Leads!$A:$A,0)),"")</f>
        <v/>
      </c>
      <c r="G85" s="11">
        <f>IFERROR(INDEX(Leads!$J:$J,MATCH($A85,Leads!$A:$A,0)),"")</f>
        <v/>
      </c>
      <c r="H85" s="12" t="inlineStr">
        <is>
          <t>Not started</t>
        </is>
      </c>
      <c r="I85" s="13" t="n"/>
      <c r="J85" s="13" t="n"/>
      <c r="K85" s="13" t="n"/>
      <c r="L85" s="13" t="n"/>
      <c r="M85" s="14">
        <f>IF(L85="","",L85+4)</f>
        <v/>
      </c>
      <c r="N85" s="13" t="n"/>
      <c r="O85" s="14">
        <f>IF(N85="","",N85+6)</f>
        <v/>
      </c>
      <c r="P85" s="13" t="n"/>
      <c r="Q85" s="13" t="n"/>
      <c r="R85" s="13" t="n"/>
      <c r="S85" s="13" t="n"/>
      <c r="T85" s="12" t="n"/>
      <c r="U85" s="12" t="n"/>
      <c r="V85" s="9" t="n"/>
      <c r="W85" s="13" t="n"/>
      <c r="X85" s="11">
        <f>IF(MAX(I85:L85,N85,P85:S85,AA85,AC85)=0,"",TODAY()-MAX(I85:L85,N85,P85:S85,AA85,AC85))</f>
        <v/>
      </c>
      <c r="Y85" s="9" t="n"/>
      <c r="Z85" s="11">
        <f>IFERROR(IF(INDEX(Leads!$X:$X,MATCH($A85,Leads!$A:$A,0))="","",INDEX(Leads!$X:$X,MATCH($A85,Leads!$A:$A,0))),"")</f>
        <v/>
      </c>
      <c r="AA85" s="13" t="n"/>
      <c r="AB85" s="14">
        <f>IF(AA85="","",AA85+5)</f>
        <v/>
      </c>
      <c r="AC85" s="13" t="n"/>
    </row>
    <row r="86">
      <c r="A86" s="11" t="inlineStr">
        <is>
          <t>G085</t>
        </is>
      </c>
      <c r="B86" s="11">
        <f>IFERROR(INDEX(Leads!$D:$D,MATCH($A86,Leads!$A:$A,0)),"")</f>
        <v/>
      </c>
      <c r="C86" s="11">
        <f>IFERROR(INDEX(Leads!$F:$F,MATCH($A86,Leads!$A:$A,0)),"")</f>
        <v/>
      </c>
      <c r="D86" s="11">
        <f>IFERROR(INDEX(Leads!$G:$G,MATCH($A86,Leads!$A:$A,0)),"")</f>
        <v/>
      </c>
      <c r="E86" s="11">
        <f>IFERROR(INDEX(Leads!$R:$R,MATCH($A86,Leads!$A:$A,0)),"")</f>
        <v/>
      </c>
      <c r="F86" s="11">
        <f>IFERROR(INDEX(Leads!$N:$N,MATCH($A86,Leads!$A:$A,0)),"")</f>
        <v/>
      </c>
      <c r="G86" s="11">
        <f>IFERROR(INDEX(Leads!$J:$J,MATCH($A86,Leads!$A:$A,0)),"")</f>
        <v/>
      </c>
      <c r="H86" s="12" t="inlineStr">
        <is>
          <t>Not started</t>
        </is>
      </c>
      <c r="I86" s="13" t="n"/>
      <c r="J86" s="13" t="n"/>
      <c r="K86" s="13" t="n"/>
      <c r="L86" s="13" t="n"/>
      <c r="M86" s="14">
        <f>IF(L86="","",L86+4)</f>
        <v/>
      </c>
      <c r="N86" s="13" t="n"/>
      <c r="O86" s="14">
        <f>IF(N86="","",N86+6)</f>
        <v/>
      </c>
      <c r="P86" s="13" t="n"/>
      <c r="Q86" s="13" t="n"/>
      <c r="R86" s="13" t="n"/>
      <c r="S86" s="13" t="n"/>
      <c r="T86" s="12" t="n"/>
      <c r="U86" s="12" t="n"/>
      <c r="V86" s="9" t="n"/>
      <c r="W86" s="13" t="n"/>
      <c r="X86" s="11">
        <f>IF(MAX(I86:L86,N86,P86:S86,AA86,AC86)=0,"",TODAY()-MAX(I86:L86,N86,P86:S86,AA86,AC86))</f>
        <v/>
      </c>
      <c r="Y86" s="9" t="n"/>
      <c r="Z86" s="11">
        <f>IFERROR(IF(INDEX(Leads!$X:$X,MATCH($A86,Leads!$A:$A,0))="","",INDEX(Leads!$X:$X,MATCH($A86,Leads!$A:$A,0))),"")</f>
        <v/>
      </c>
      <c r="AA86" s="13" t="n"/>
      <c r="AB86" s="14">
        <f>IF(AA86="","",AA86+5)</f>
        <v/>
      </c>
      <c r="AC86" s="13" t="n"/>
    </row>
    <row r="87">
      <c r="A87" s="11" t="inlineStr">
        <is>
          <t>G086</t>
        </is>
      </c>
      <c r="B87" s="11">
        <f>IFERROR(INDEX(Leads!$D:$D,MATCH($A87,Leads!$A:$A,0)),"")</f>
        <v/>
      </c>
      <c r="C87" s="11">
        <f>IFERROR(INDEX(Leads!$F:$F,MATCH($A87,Leads!$A:$A,0)),"")</f>
        <v/>
      </c>
      <c r="D87" s="11">
        <f>IFERROR(INDEX(Leads!$G:$G,MATCH($A87,Leads!$A:$A,0)),"")</f>
        <v/>
      </c>
      <c r="E87" s="11">
        <f>IFERROR(INDEX(Leads!$R:$R,MATCH($A87,Leads!$A:$A,0)),"")</f>
        <v/>
      </c>
      <c r="F87" s="11">
        <f>IFERROR(INDEX(Leads!$N:$N,MATCH($A87,Leads!$A:$A,0)),"")</f>
        <v/>
      </c>
      <c r="G87" s="11">
        <f>IFERROR(INDEX(Leads!$J:$J,MATCH($A87,Leads!$A:$A,0)),"")</f>
        <v/>
      </c>
      <c r="H87" s="12" t="inlineStr">
        <is>
          <t>Not started</t>
        </is>
      </c>
      <c r="I87" s="13" t="n"/>
      <c r="J87" s="13" t="n"/>
      <c r="K87" s="13" t="n"/>
      <c r="L87" s="13" t="n"/>
      <c r="M87" s="14">
        <f>IF(L87="","",L87+4)</f>
        <v/>
      </c>
      <c r="N87" s="13" t="n"/>
      <c r="O87" s="14">
        <f>IF(N87="","",N87+6)</f>
        <v/>
      </c>
      <c r="P87" s="13" t="n"/>
      <c r="Q87" s="13" t="n"/>
      <c r="R87" s="13" t="n"/>
      <c r="S87" s="13" t="n"/>
      <c r="T87" s="12" t="n"/>
      <c r="U87" s="12" t="n"/>
      <c r="V87" s="9" t="n"/>
      <c r="W87" s="13" t="n"/>
      <c r="X87" s="11">
        <f>IF(MAX(I87:L87,N87,P87:S87,AA87,AC87)=0,"",TODAY()-MAX(I87:L87,N87,P87:S87,AA87,AC87))</f>
        <v/>
      </c>
      <c r="Y87" s="9" t="n"/>
      <c r="Z87" s="11">
        <f>IFERROR(IF(INDEX(Leads!$X:$X,MATCH($A87,Leads!$A:$A,0))="","",INDEX(Leads!$X:$X,MATCH($A87,Leads!$A:$A,0))),"")</f>
        <v/>
      </c>
      <c r="AA87" s="13" t="n"/>
      <c r="AB87" s="14">
        <f>IF(AA87="","",AA87+5)</f>
        <v/>
      </c>
      <c r="AC87" s="13" t="n"/>
    </row>
    <row r="88">
      <c r="A88" s="11" t="inlineStr">
        <is>
          <t>G087</t>
        </is>
      </c>
      <c r="B88" s="11">
        <f>IFERROR(INDEX(Leads!$D:$D,MATCH($A88,Leads!$A:$A,0)),"")</f>
        <v/>
      </c>
      <c r="C88" s="11">
        <f>IFERROR(INDEX(Leads!$F:$F,MATCH($A88,Leads!$A:$A,0)),"")</f>
        <v/>
      </c>
      <c r="D88" s="11">
        <f>IFERROR(INDEX(Leads!$G:$G,MATCH($A88,Leads!$A:$A,0)),"")</f>
        <v/>
      </c>
      <c r="E88" s="11">
        <f>IFERROR(INDEX(Leads!$R:$R,MATCH($A88,Leads!$A:$A,0)),"")</f>
        <v/>
      </c>
      <c r="F88" s="11">
        <f>IFERROR(INDEX(Leads!$N:$N,MATCH($A88,Leads!$A:$A,0)),"")</f>
        <v/>
      </c>
      <c r="G88" s="11">
        <f>IFERROR(INDEX(Leads!$J:$J,MATCH($A88,Leads!$A:$A,0)),"")</f>
        <v/>
      </c>
      <c r="H88" s="12" t="inlineStr">
        <is>
          <t>Not started</t>
        </is>
      </c>
      <c r="I88" s="13" t="n"/>
      <c r="J88" s="13" t="n"/>
      <c r="K88" s="13" t="n"/>
      <c r="L88" s="13" t="n"/>
      <c r="M88" s="14">
        <f>IF(L88="","",L88+4)</f>
        <v/>
      </c>
      <c r="N88" s="13" t="n"/>
      <c r="O88" s="14">
        <f>IF(N88="","",N88+6)</f>
        <v/>
      </c>
      <c r="P88" s="13" t="n"/>
      <c r="Q88" s="13" t="n"/>
      <c r="R88" s="13" t="n"/>
      <c r="S88" s="13" t="n"/>
      <c r="T88" s="12" t="n"/>
      <c r="U88" s="12" t="n"/>
      <c r="V88" s="9" t="n"/>
      <c r="W88" s="13" t="n"/>
      <c r="X88" s="11">
        <f>IF(MAX(I88:L88,N88,P88:S88,AA88,AC88)=0,"",TODAY()-MAX(I88:L88,N88,P88:S88,AA88,AC88))</f>
        <v/>
      </c>
      <c r="Y88" s="9" t="n"/>
      <c r="Z88" s="11">
        <f>IFERROR(IF(INDEX(Leads!$X:$X,MATCH($A88,Leads!$A:$A,0))="","",INDEX(Leads!$X:$X,MATCH($A88,Leads!$A:$A,0))),"")</f>
        <v/>
      </c>
      <c r="AA88" s="13" t="n"/>
      <c r="AB88" s="14">
        <f>IF(AA88="","",AA88+5)</f>
        <v/>
      </c>
      <c r="AC88" s="13" t="n"/>
    </row>
    <row r="89">
      <c r="A89" s="11" t="inlineStr">
        <is>
          <t>G088</t>
        </is>
      </c>
      <c r="B89" s="11">
        <f>IFERROR(INDEX(Leads!$D:$D,MATCH($A89,Leads!$A:$A,0)),"")</f>
        <v/>
      </c>
      <c r="C89" s="11">
        <f>IFERROR(INDEX(Leads!$F:$F,MATCH($A89,Leads!$A:$A,0)),"")</f>
        <v/>
      </c>
      <c r="D89" s="11">
        <f>IFERROR(INDEX(Leads!$G:$G,MATCH($A89,Leads!$A:$A,0)),"")</f>
        <v/>
      </c>
      <c r="E89" s="11">
        <f>IFERROR(INDEX(Leads!$R:$R,MATCH($A89,Leads!$A:$A,0)),"")</f>
        <v/>
      </c>
      <c r="F89" s="11">
        <f>IFERROR(INDEX(Leads!$N:$N,MATCH($A89,Leads!$A:$A,0)),"")</f>
        <v/>
      </c>
      <c r="G89" s="11">
        <f>IFERROR(INDEX(Leads!$J:$J,MATCH($A89,Leads!$A:$A,0)),"")</f>
        <v/>
      </c>
      <c r="H89" s="12" t="inlineStr">
        <is>
          <t>Not started</t>
        </is>
      </c>
      <c r="I89" s="13" t="n"/>
      <c r="J89" s="13" t="n"/>
      <c r="K89" s="13" t="n"/>
      <c r="L89" s="13" t="n"/>
      <c r="M89" s="14">
        <f>IF(L89="","",L89+4)</f>
        <v/>
      </c>
      <c r="N89" s="13" t="n"/>
      <c r="O89" s="14">
        <f>IF(N89="","",N89+6)</f>
        <v/>
      </c>
      <c r="P89" s="13" t="n"/>
      <c r="Q89" s="13" t="n"/>
      <c r="R89" s="13" t="n"/>
      <c r="S89" s="13" t="n"/>
      <c r="T89" s="12" t="n"/>
      <c r="U89" s="12" t="n"/>
      <c r="V89" s="9" t="n"/>
      <c r="W89" s="13" t="n"/>
      <c r="X89" s="11">
        <f>IF(MAX(I89:L89,N89,P89:S89,AA89,AC89)=0,"",TODAY()-MAX(I89:L89,N89,P89:S89,AA89,AC89))</f>
        <v/>
      </c>
      <c r="Y89" s="9" t="n"/>
      <c r="Z89" s="11">
        <f>IFERROR(IF(INDEX(Leads!$X:$X,MATCH($A89,Leads!$A:$A,0))="","",INDEX(Leads!$X:$X,MATCH($A89,Leads!$A:$A,0))),"")</f>
        <v/>
      </c>
      <c r="AA89" s="13" t="n"/>
      <c r="AB89" s="14">
        <f>IF(AA89="","",AA89+5)</f>
        <v/>
      </c>
      <c r="AC89" s="13" t="n"/>
    </row>
    <row r="90">
      <c r="A90" s="11" t="inlineStr">
        <is>
          <t>G089</t>
        </is>
      </c>
      <c r="B90" s="11">
        <f>IFERROR(INDEX(Leads!$D:$D,MATCH($A90,Leads!$A:$A,0)),"")</f>
        <v/>
      </c>
      <c r="C90" s="11">
        <f>IFERROR(INDEX(Leads!$F:$F,MATCH($A90,Leads!$A:$A,0)),"")</f>
        <v/>
      </c>
      <c r="D90" s="11">
        <f>IFERROR(INDEX(Leads!$G:$G,MATCH($A90,Leads!$A:$A,0)),"")</f>
        <v/>
      </c>
      <c r="E90" s="11">
        <f>IFERROR(INDEX(Leads!$R:$R,MATCH($A90,Leads!$A:$A,0)),"")</f>
        <v/>
      </c>
      <c r="F90" s="11">
        <f>IFERROR(INDEX(Leads!$N:$N,MATCH($A90,Leads!$A:$A,0)),"")</f>
        <v/>
      </c>
      <c r="G90" s="11">
        <f>IFERROR(INDEX(Leads!$J:$J,MATCH($A90,Leads!$A:$A,0)),"")</f>
        <v/>
      </c>
      <c r="H90" s="12" t="inlineStr">
        <is>
          <t>Not started</t>
        </is>
      </c>
      <c r="I90" s="13" t="n"/>
      <c r="J90" s="13" t="n"/>
      <c r="K90" s="13" t="n"/>
      <c r="L90" s="13" t="n"/>
      <c r="M90" s="14">
        <f>IF(L90="","",L90+4)</f>
        <v/>
      </c>
      <c r="N90" s="13" t="n"/>
      <c r="O90" s="14">
        <f>IF(N90="","",N90+6)</f>
        <v/>
      </c>
      <c r="P90" s="13" t="n"/>
      <c r="Q90" s="13" t="n"/>
      <c r="R90" s="13" t="n"/>
      <c r="S90" s="13" t="n"/>
      <c r="T90" s="12" t="n"/>
      <c r="U90" s="12" t="n"/>
      <c r="V90" s="9" t="n"/>
      <c r="W90" s="13" t="n"/>
      <c r="X90" s="11">
        <f>IF(MAX(I90:L90,N90,P90:S90,AA90,AC90)=0,"",TODAY()-MAX(I90:L90,N90,P90:S90,AA90,AC90))</f>
        <v/>
      </c>
      <c r="Y90" s="9" t="n"/>
      <c r="Z90" s="11">
        <f>IFERROR(IF(INDEX(Leads!$X:$X,MATCH($A90,Leads!$A:$A,0))="","",INDEX(Leads!$X:$X,MATCH($A90,Leads!$A:$A,0))),"")</f>
        <v/>
      </c>
      <c r="AA90" s="13" t="n"/>
      <c r="AB90" s="14">
        <f>IF(AA90="","",AA90+5)</f>
        <v/>
      </c>
      <c r="AC90" s="13" t="n"/>
    </row>
    <row r="91">
      <c r="A91" s="11" t="inlineStr">
        <is>
          <t>G090</t>
        </is>
      </c>
      <c r="B91" s="11">
        <f>IFERROR(INDEX(Leads!$D:$D,MATCH($A91,Leads!$A:$A,0)),"")</f>
        <v/>
      </c>
      <c r="C91" s="11">
        <f>IFERROR(INDEX(Leads!$F:$F,MATCH($A91,Leads!$A:$A,0)),"")</f>
        <v/>
      </c>
      <c r="D91" s="11">
        <f>IFERROR(INDEX(Leads!$G:$G,MATCH($A91,Leads!$A:$A,0)),"")</f>
        <v/>
      </c>
      <c r="E91" s="11">
        <f>IFERROR(INDEX(Leads!$R:$R,MATCH($A91,Leads!$A:$A,0)),"")</f>
        <v/>
      </c>
      <c r="F91" s="11">
        <f>IFERROR(INDEX(Leads!$N:$N,MATCH($A91,Leads!$A:$A,0)),"")</f>
        <v/>
      </c>
      <c r="G91" s="11">
        <f>IFERROR(INDEX(Leads!$J:$J,MATCH($A91,Leads!$A:$A,0)),"")</f>
        <v/>
      </c>
      <c r="H91" s="12" t="inlineStr">
        <is>
          <t>Not started</t>
        </is>
      </c>
      <c r="I91" s="13" t="n"/>
      <c r="J91" s="13" t="n"/>
      <c r="K91" s="13" t="n"/>
      <c r="L91" s="13" t="n"/>
      <c r="M91" s="14">
        <f>IF(L91="","",L91+4)</f>
        <v/>
      </c>
      <c r="N91" s="13" t="n"/>
      <c r="O91" s="14">
        <f>IF(N91="","",N91+6)</f>
        <v/>
      </c>
      <c r="P91" s="13" t="n"/>
      <c r="Q91" s="13" t="n"/>
      <c r="R91" s="13" t="n"/>
      <c r="S91" s="13" t="n"/>
      <c r="T91" s="12" t="n"/>
      <c r="U91" s="12" t="n"/>
      <c r="V91" s="9" t="n"/>
      <c r="W91" s="13" t="n"/>
      <c r="X91" s="11">
        <f>IF(MAX(I91:L91,N91,P91:S91,AA91,AC91)=0,"",TODAY()-MAX(I91:L91,N91,P91:S91,AA91,AC91))</f>
        <v/>
      </c>
      <c r="Y91" s="9" t="n"/>
      <c r="Z91" s="11">
        <f>IFERROR(IF(INDEX(Leads!$X:$X,MATCH($A91,Leads!$A:$A,0))="","",INDEX(Leads!$X:$X,MATCH($A91,Leads!$A:$A,0))),"")</f>
        <v/>
      </c>
      <c r="AA91" s="13" t="n"/>
      <c r="AB91" s="14">
        <f>IF(AA91="","",AA91+5)</f>
        <v/>
      </c>
      <c r="AC91" s="13" t="n"/>
    </row>
    <row r="92">
      <c r="A92" s="11" t="inlineStr">
        <is>
          <t>G091</t>
        </is>
      </c>
      <c r="B92" s="11">
        <f>IFERROR(INDEX(Leads!$D:$D,MATCH($A92,Leads!$A:$A,0)),"")</f>
        <v/>
      </c>
      <c r="C92" s="11">
        <f>IFERROR(INDEX(Leads!$F:$F,MATCH($A92,Leads!$A:$A,0)),"")</f>
        <v/>
      </c>
      <c r="D92" s="11">
        <f>IFERROR(INDEX(Leads!$G:$G,MATCH($A92,Leads!$A:$A,0)),"")</f>
        <v/>
      </c>
      <c r="E92" s="11">
        <f>IFERROR(INDEX(Leads!$R:$R,MATCH($A92,Leads!$A:$A,0)),"")</f>
        <v/>
      </c>
      <c r="F92" s="11">
        <f>IFERROR(INDEX(Leads!$N:$N,MATCH($A92,Leads!$A:$A,0)),"")</f>
        <v/>
      </c>
      <c r="G92" s="11">
        <f>IFERROR(INDEX(Leads!$J:$J,MATCH($A92,Leads!$A:$A,0)),"")</f>
        <v/>
      </c>
      <c r="H92" s="12" t="inlineStr">
        <is>
          <t>Not started</t>
        </is>
      </c>
      <c r="I92" s="13" t="n"/>
      <c r="J92" s="13" t="n"/>
      <c r="K92" s="13" t="n"/>
      <c r="L92" s="13" t="n"/>
      <c r="M92" s="14">
        <f>IF(L92="","",L92+4)</f>
        <v/>
      </c>
      <c r="N92" s="13" t="n"/>
      <c r="O92" s="14">
        <f>IF(N92="","",N92+6)</f>
        <v/>
      </c>
      <c r="P92" s="13" t="n"/>
      <c r="Q92" s="13" t="n"/>
      <c r="R92" s="13" t="n"/>
      <c r="S92" s="13" t="n"/>
      <c r="T92" s="12" t="n"/>
      <c r="U92" s="12" t="n"/>
      <c r="V92" s="9" t="n"/>
      <c r="W92" s="13" t="n"/>
      <c r="X92" s="11">
        <f>IF(MAX(I92:L92,N92,P92:S92,AA92,AC92)=0,"",TODAY()-MAX(I92:L92,N92,P92:S92,AA92,AC92))</f>
        <v/>
      </c>
      <c r="Y92" s="9" t="n"/>
      <c r="Z92" s="11">
        <f>IFERROR(IF(INDEX(Leads!$X:$X,MATCH($A92,Leads!$A:$A,0))="","",INDEX(Leads!$X:$X,MATCH($A92,Leads!$A:$A,0))),"")</f>
        <v/>
      </c>
      <c r="AA92" s="13" t="n"/>
      <c r="AB92" s="14">
        <f>IF(AA92="","",AA92+5)</f>
        <v/>
      </c>
      <c r="AC92" s="13" t="n"/>
    </row>
    <row r="93">
      <c r="A93" s="11" t="inlineStr">
        <is>
          <t>G092</t>
        </is>
      </c>
      <c r="B93" s="11">
        <f>IFERROR(INDEX(Leads!$D:$D,MATCH($A93,Leads!$A:$A,0)),"")</f>
        <v/>
      </c>
      <c r="C93" s="11">
        <f>IFERROR(INDEX(Leads!$F:$F,MATCH($A93,Leads!$A:$A,0)),"")</f>
        <v/>
      </c>
      <c r="D93" s="11">
        <f>IFERROR(INDEX(Leads!$G:$G,MATCH($A93,Leads!$A:$A,0)),"")</f>
        <v/>
      </c>
      <c r="E93" s="11">
        <f>IFERROR(INDEX(Leads!$R:$R,MATCH($A93,Leads!$A:$A,0)),"")</f>
        <v/>
      </c>
      <c r="F93" s="11">
        <f>IFERROR(INDEX(Leads!$N:$N,MATCH($A93,Leads!$A:$A,0)),"")</f>
        <v/>
      </c>
      <c r="G93" s="11">
        <f>IFERROR(INDEX(Leads!$J:$J,MATCH($A93,Leads!$A:$A,0)),"")</f>
        <v/>
      </c>
      <c r="H93" s="12" t="inlineStr">
        <is>
          <t>Not started</t>
        </is>
      </c>
      <c r="I93" s="13" t="n"/>
      <c r="J93" s="13" t="n"/>
      <c r="K93" s="13" t="n"/>
      <c r="L93" s="13" t="n"/>
      <c r="M93" s="14">
        <f>IF(L93="","",L93+4)</f>
        <v/>
      </c>
      <c r="N93" s="13" t="n"/>
      <c r="O93" s="14">
        <f>IF(N93="","",N93+6)</f>
        <v/>
      </c>
      <c r="P93" s="13" t="n"/>
      <c r="Q93" s="13" t="n"/>
      <c r="R93" s="13" t="n"/>
      <c r="S93" s="13" t="n"/>
      <c r="T93" s="12" t="n"/>
      <c r="U93" s="12" t="n"/>
      <c r="V93" s="9" t="n"/>
      <c r="W93" s="13" t="n"/>
      <c r="X93" s="11">
        <f>IF(MAX(I93:L93,N93,P93:S93,AA93,AC93)=0,"",TODAY()-MAX(I93:L93,N93,P93:S93,AA93,AC93))</f>
        <v/>
      </c>
      <c r="Y93" s="9" t="n"/>
      <c r="Z93" s="11">
        <f>IFERROR(IF(INDEX(Leads!$X:$X,MATCH($A93,Leads!$A:$A,0))="","",INDEX(Leads!$X:$X,MATCH($A93,Leads!$A:$A,0))),"")</f>
        <v/>
      </c>
      <c r="AA93" s="13" t="n"/>
      <c r="AB93" s="14">
        <f>IF(AA93="","",AA93+5)</f>
        <v/>
      </c>
      <c r="AC93" s="13" t="n"/>
    </row>
    <row r="94">
      <c r="A94" s="11" t="inlineStr">
        <is>
          <t>G093</t>
        </is>
      </c>
      <c r="B94" s="11">
        <f>IFERROR(INDEX(Leads!$D:$D,MATCH($A94,Leads!$A:$A,0)),"")</f>
        <v/>
      </c>
      <c r="C94" s="11">
        <f>IFERROR(INDEX(Leads!$F:$F,MATCH($A94,Leads!$A:$A,0)),"")</f>
        <v/>
      </c>
      <c r="D94" s="11">
        <f>IFERROR(INDEX(Leads!$G:$G,MATCH($A94,Leads!$A:$A,0)),"")</f>
        <v/>
      </c>
      <c r="E94" s="11">
        <f>IFERROR(INDEX(Leads!$R:$R,MATCH($A94,Leads!$A:$A,0)),"")</f>
        <v/>
      </c>
      <c r="F94" s="11">
        <f>IFERROR(INDEX(Leads!$N:$N,MATCH($A94,Leads!$A:$A,0)),"")</f>
        <v/>
      </c>
      <c r="G94" s="11">
        <f>IFERROR(INDEX(Leads!$J:$J,MATCH($A94,Leads!$A:$A,0)),"")</f>
        <v/>
      </c>
      <c r="H94" s="12" t="inlineStr">
        <is>
          <t>Not started</t>
        </is>
      </c>
      <c r="I94" s="13" t="n"/>
      <c r="J94" s="13" t="n"/>
      <c r="K94" s="13" t="n"/>
      <c r="L94" s="13" t="n"/>
      <c r="M94" s="14">
        <f>IF(L94="","",L94+4)</f>
        <v/>
      </c>
      <c r="N94" s="13" t="n"/>
      <c r="O94" s="14">
        <f>IF(N94="","",N94+6)</f>
        <v/>
      </c>
      <c r="P94" s="13" t="n"/>
      <c r="Q94" s="13" t="n"/>
      <c r="R94" s="13" t="n"/>
      <c r="S94" s="13" t="n"/>
      <c r="T94" s="12" t="n"/>
      <c r="U94" s="12" t="n"/>
      <c r="V94" s="9" t="n"/>
      <c r="W94" s="13" t="n"/>
      <c r="X94" s="11">
        <f>IF(MAX(I94:L94,N94,P94:S94,AA94,AC94)=0,"",TODAY()-MAX(I94:L94,N94,P94:S94,AA94,AC94))</f>
        <v/>
      </c>
      <c r="Y94" s="9" t="n"/>
      <c r="Z94" s="11">
        <f>IFERROR(IF(INDEX(Leads!$X:$X,MATCH($A94,Leads!$A:$A,0))="","",INDEX(Leads!$X:$X,MATCH($A94,Leads!$A:$A,0))),"")</f>
        <v/>
      </c>
      <c r="AA94" s="13" t="n"/>
      <c r="AB94" s="14">
        <f>IF(AA94="","",AA94+5)</f>
        <v/>
      </c>
      <c r="AC94" s="13" t="n"/>
    </row>
    <row r="95">
      <c r="A95" s="11" t="inlineStr">
        <is>
          <t>G094</t>
        </is>
      </c>
      <c r="B95" s="11">
        <f>IFERROR(INDEX(Leads!$D:$D,MATCH($A95,Leads!$A:$A,0)),"")</f>
        <v/>
      </c>
      <c r="C95" s="11">
        <f>IFERROR(INDEX(Leads!$F:$F,MATCH($A95,Leads!$A:$A,0)),"")</f>
        <v/>
      </c>
      <c r="D95" s="11">
        <f>IFERROR(INDEX(Leads!$G:$G,MATCH($A95,Leads!$A:$A,0)),"")</f>
        <v/>
      </c>
      <c r="E95" s="11">
        <f>IFERROR(INDEX(Leads!$R:$R,MATCH($A95,Leads!$A:$A,0)),"")</f>
        <v/>
      </c>
      <c r="F95" s="11">
        <f>IFERROR(INDEX(Leads!$N:$N,MATCH($A95,Leads!$A:$A,0)),"")</f>
        <v/>
      </c>
      <c r="G95" s="11">
        <f>IFERROR(INDEX(Leads!$J:$J,MATCH($A95,Leads!$A:$A,0)),"")</f>
        <v/>
      </c>
      <c r="H95" s="12" t="inlineStr">
        <is>
          <t>Not started</t>
        </is>
      </c>
      <c r="I95" s="13" t="n"/>
      <c r="J95" s="13" t="n"/>
      <c r="K95" s="13" t="n"/>
      <c r="L95" s="13" t="n"/>
      <c r="M95" s="14">
        <f>IF(L95="","",L95+4)</f>
        <v/>
      </c>
      <c r="N95" s="13" t="n"/>
      <c r="O95" s="14">
        <f>IF(N95="","",N95+6)</f>
        <v/>
      </c>
      <c r="P95" s="13" t="n"/>
      <c r="Q95" s="13" t="n"/>
      <c r="R95" s="13" t="n"/>
      <c r="S95" s="13" t="n"/>
      <c r="T95" s="12" t="n"/>
      <c r="U95" s="12" t="n"/>
      <c r="V95" s="9" t="n"/>
      <c r="W95" s="13" t="n"/>
      <c r="X95" s="11">
        <f>IF(MAX(I95:L95,N95,P95:S95,AA95,AC95)=0,"",TODAY()-MAX(I95:L95,N95,P95:S95,AA95,AC95))</f>
        <v/>
      </c>
      <c r="Y95" s="9" t="n"/>
      <c r="Z95" s="11">
        <f>IFERROR(IF(INDEX(Leads!$X:$X,MATCH($A95,Leads!$A:$A,0))="","",INDEX(Leads!$X:$X,MATCH($A95,Leads!$A:$A,0))),"")</f>
        <v/>
      </c>
      <c r="AA95" s="13" t="n"/>
      <c r="AB95" s="14">
        <f>IF(AA95="","",AA95+5)</f>
        <v/>
      </c>
      <c r="AC95" s="13" t="n"/>
    </row>
    <row r="96">
      <c r="A96" s="11" t="inlineStr">
        <is>
          <t>G095</t>
        </is>
      </c>
      <c r="B96" s="11">
        <f>IFERROR(INDEX(Leads!$D:$D,MATCH($A96,Leads!$A:$A,0)),"")</f>
        <v/>
      </c>
      <c r="C96" s="11">
        <f>IFERROR(INDEX(Leads!$F:$F,MATCH($A96,Leads!$A:$A,0)),"")</f>
        <v/>
      </c>
      <c r="D96" s="11">
        <f>IFERROR(INDEX(Leads!$G:$G,MATCH($A96,Leads!$A:$A,0)),"")</f>
        <v/>
      </c>
      <c r="E96" s="11">
        <f>IFERROR(INDEX(Leads!$R:$R,MATCH($A96,Leads!$A:$A,0)),"")</f>
        <v/>
      </c>
      <c r="F96" s="11">
        <f>IFERROR(INDEX(Leads!$N:$N,MATCH($A96,Leads!$A:$A,0)),"")</f>
        <v/>
      </c>
      <c r="G96" s="11">
        <f>IFERROR(INDEX(Leads!$J:$J,MATCH($A96,Leads!$A:$A,0)),"")</f>
        <v/>
      </c>
      <c r="H96" s="12" t="inlineStr">
        <is>
          <t>Not started</t>
        </is>
      </c>
      <c r="I96" s="13" t="n"/>
      <c r="J96" s="13" t="n"/>
      <c r="K96" s="13" t="n"/>
      <c r="L96" s="13" t="n"/>
      <c r="M96" s="14">
        <f>IF(L96="","",L96+4)</f>
        <v/>
      </c>
      <c r="N96" s="13" t="n"/>
      <c r="O96" s="14">
        <f>IF(N96="","",N96+6)</f>
        <v/>
      </c>
      <c r="P96" s="13" t="n"/>
      <c r="Q96" s="13" t="n"/>
      <c r="R96" s="13" t="n"/>
      <c r="S96" s="13" t="n"/>
      <c r="T96" s="12" t="n"/>
      <c r="U96" s="12" t="n"/>
      <c r="V96" s="9" t="n"/>
      <c r="W96" s="13" t="n"/>
      <c r="X96" s="11">
        <f>IF(MAX(I96:L96,N96,P96:S96,AA96,AC96)=0,"",TODAY()-MAX(I96:L96,N96,P96:S96,AA96,AC96))</f>
        <v/>
      </c>
      <c r="Y96" s="9" t="n"/>
      <c r="Z96" s="11">
        <f>IFERROR(IF(INDEX(Leads!$X:$X,MATCH($A96,Leads!$A:$A,0))="","",INDEX(Leads!$X:$X,MATCH($A96,Leads!$A:$A,0))),"")</f>
        <v/>
      </c>
      <c r="AA96" s="13" t="n"/>
      <c r="AB96" s="14">
        <f>IF(AA96="","",AA96+5)</f>
        <v/>
      </c>
      <c r="AC96" s="13" t="n"/>
    </row>
    <row r="97">
      <c r="A97" s="11" t="inlineStr">
        <is>
          <t>G096</t>
        </is>
      </c>
      <c r="B97" s="11">
        <f>IFERROR(INDEX(Leads!$D:$D,MATCH($A97,Leads!$A:$A,0)),"")</f>
        <v/>
      </c>
      <c r="C97" s="11">
        <f>IFERROR(INDEX(Leads!$F:$F,MATCH($A97,Leads!$A:$A,0)),"")</f>
        <v/>
      </c>
      <c r="D97" s="11">
        <f>IFERROR(INDEX(Leads!$G:$G,MATCH($A97,Leads!$A:$A,0)),"")</f>
        <v/>
      </c>
      <c r="E97" s="11">
        <f>IFERROR(INDEX(Leads!$R:$R,MATCH($A97,Leads!$A:$A,0)),"")</f>
        <v/>
      </c>
      <c r="F97" s="11">
        <f>IFERROR(INDEX(Leads!$N:$N,MATCH($A97,Leads!$A:$A,0)),"")</f>
        <v/>
      </c>
      <c r="G97" s="11">
        <f>IFERROR(INDEX(Leads!$J:$J,MATCH($A97,Leads!$A:$A,0)),"")</f>
        <v/>
      </c>
      <c r="H97" s="12" t="inlineStr">
        <is>
          <t>Not started</t>
        </is>
      </c>
      <c r="I97" s="13" t="n"/>
      <c r="J97" s="13" t="n"/>
      <c r="K97" s="13" t="n"/>
      <c r="L97" s="13" t="n"/>
      <c r="M97" s="14">
        <f>IF(L97="","",L97+4)</f>
        <v/>
      </c>
      <c r="N97" s="13" t="n"/>
      <c r="O97" s="14">
        <f>IF(N97="","",N97+6)</f>
        <v/>
      </c>
      <c r="P97" s="13" t="n"/>
      <c r="Q97" s="13" t="n"/>
      <c r="R97" s="13" t="n"/>
      <c r="S97" s="13" t="n"/>
      <c r="T97" s="12" t="n"/>
      <c r="U97" s="12" t="n"/>
      <c r="V97" s="9" t="n"/>
      <c r="W97" s="13" t="n"/>
      <c r="X97" s="11">
        <f>IF(MAX(I97:L97,N97,P97:S97,AA97,AC97)=0,"",TODAY()-MAX(I97:L97,N97,P97:S97,AA97,AC97))</f>
        <v/>
      </c>
      <c r="Y97" s="9" t="n"/>
      <c r="Z97" s="11">
        <f>IFERROR(IF(INDEX(Leads!$X:$X,MATCH($A97,Leads!$A:$A,0))="","",INDEX(Leads!$X:$X,MATCH($A97,Leads!$A:$A,0))),"")</f>
        <v/>
      </c>
      <c r="AA97" s="13" t="n"/>
      <c r="AB97" s="14">
        <f>IF(AA97="","",AA97+5)</f>
        <v/>
      </c>
      <c r="AC97" s="13" t="n"/>
    </row>
    <row r="98">
      <c r="A98" s="11" t="inlineStr">
        <is>
          <t>G097</t>
        </is>
      </c>
      <c r="B98" s="11">
        <f>IFERROR(INDEX(Leads!$D:$D,MATCH($A98,Leads!$A:$A,0)),"")</f>
        <v/>
      </c>
      <c r="C98" s="11">
        <f>IFERROR(INDEX(Leads!$F:$F,MATCH($A98,Leads!$A:$A,0)),"")</f>
        <v/>
      </c>
      <c r="D98" s="11">
        <f>IFERROR(INDEX(Leads!$G:$G,MATCH($A98,Leads!$A:$A,0)),"")</f>
        <v/>
      </c>
      <c r="E98" s="11">
        <f>IFERROR(INDEX(Leads!$R:$R,MATCH($A98,Leads!$A:$A,0)),"")</f>
        <v/>
      </c>
      <c r="F98" s="11">
        <f>IFERROR(INDEX(Leads!$N:$N,MATCH($A98,Leads!$A:$A,0)),"")</f>
        <v/>
      </c>
      <c r="G98" s="11">
        <f>IFERROR(INDEX(Leads!$J:$J,MATCH($A98,Leads!$A:$A,0)),"")</f>
        <v/>
      </c>
      <c r="H98" s="12" t="inlineStr">
        <is>
          <t>Not started</t>
        </is>
      </c>
      <c r="I98" s="13" t="n"/>
      <c r="J98" s="13" t="n"/>
      <c r="K98" s="13" t="n"/>
      <c r="L98" s="13" t="n"/>
      <c r="M98" s="14">
        <f>IF(L98="","",L98+4)</f>
        <v/>
      </c>
      <c r="N98" s="13" t="n"/>
      <c r="O98" s="14">
        <f>IF(N98="","",N98+6)</f>
        <v/>
      </c>
      <c r="P98" s="13" t="n"/>
      <c r="Q98" s="13" t="n"/>
      <c r="R98" s="13" t="n"/>
      <c r="S98" s="13" t="n"/>
      <c r="T98" s="12" t="n"/>
      <c r="U98" s="12" t="n"/>
      <c r="V98" s="9" t="n"/>
      <c r="W98" s="13" t="n"/>
      <c r="X98" s="11">
        <f>IF(MAX(I98:L98,N98,P98:S98,AA98,AC98)=0,"",TODAY()-MAX(I98:L98,N98,P98:S98,AA98,AC98))</f>
        <v/>
      </c>
      <c r="Y98" s="9" t="n"/>
      <c r="Z98" s="11">
        <f>IFERROR(IF(INDEX(Leads!$X:$X,MATCH($A98,Leads!$A:$A,0))="","",INDEX(Leads!$X:$X,MATCH($A98,Leads!$A:$A,0))),"")</f>
        <v/>
      </c>
      <c r="AA98" s="13" t="n"/>
      <c r="AB98" s="14">
        <f>IF(AA98="","",AA98+5)</f>
        <v/>
      </c>
      <c r="AC98" s="13" t="n"/>
    </row>
    <row r="99">
      <c r="A99" s="11" t="inlineStr">
        <is>
          <t>G098</t>
        </is>
      </c>
      <c r="B99" s="11">
        <f>IFERROR(INDEX(Leads!$D:$D,MATCH($A99,Leads!$A:$A,0)),"")</f>
        <v/>
      </c>
      <c r="C99" s="11">
        <f>IFERROR(INDEX(Leads!$F:$F,MATCH($A99,Leads!$A:$A,0)),"")</f>
        <v/>
      </c>
      <c r="D99" s="11">
        <f>IFERROR(INDEX(Leads!$G:$G,MATCH($A99,Leads!$A:$A,0)),"")</f>
        <v/>
      </c>
      <c r="E99" s="11">
        <f>IFERROR(INDEX(Leads!$R:$R,MATCH($A99,Leads!$A:$A,0)),"")</f>
        <v/>
      </c>
      <c r="F99" s="11">
        <f>IFERROR(INDEX(Leads!$N:$N,MATCH($A99,Leads!$A:$A,0)),"")</f>
        <v/>
      </c>
      <c r="G99" s="11">
        <f>IFERROR(INDEX(Leads!$J:$J,MATCH($A99,Leads!$A:$A,0)),"")</f>
        <v/>
      </c>
      <c r="H99" s="12" t="inlineStr">
        <is>
          <t>Not started</t>
        </is>
      </c>
      <c r="I99" s="13" t="n"/>
      <c r="J99" s="13" t="n"/>
      <c r="K99" s="13" t="n"/>
      <c r="L99" s="13" t="n"/>
      <c r="M99" s="14">
        <f>IF(L99="","",L99+4)</f>
        <v/>
      </c>
      <c r="N99" s="13" t="n"/>
      <c r="O99" s="14">
        <f>IF(N99="","",N99+6)</f>
        <v/>
      </c>
      <c r="P99" s="13" t="n"/>
      <c r="Q99" s="13" t="n"/>
      <c r="R99" s="13" t="n"/>
      <c r="S99" s="13" t="n"/>
      <c r="T99" s="12" t="n"/>
      <c r="U99" s="12" t="n"/>
      <c r="V99" s="9" t="n"/>
      <c r="W99" s="13" t="n"/>
      <c r="X99" s="11">
        <f>IF(MAX(I99:L99,N99,P99:S99,AA99,AC99)=0,"",TODAY()-MAX(I99:L99,N99,P99:S99,AA99,AC99))</f>
        <v/>
      </c>
      <c r="Y99" s="9" t="n"/>
      <c r="Z99" s="11">
        <f>IFERROR(IF(INDEX(Leads!$X:$X,MATCH($A99,Leads!$A:$A,0))="","",INDEX(Leads!$X:$X,MATCH($A99,Leads!$A:$A,0))),"")</f>
        <v/>
      </c>
      <c r="AA99" s="13" t="n"/>
      <c r="AB99" s="14">
        <f>IF(AA99="","",AA99+5)</f>
        <v/>
      </c>
      <c r="AC99" s="13" t="n"/>
    </row>
    <row r="100">
      <c r="A100" s="11" t="inlineStr">
        <is>
          <t>G099</t>
        </is>
      </c>
      <c r="B100" s="11">
        <f>IFERROR(INDEX(Leads!$D:$D,MATCH($A100,Leads!$A:$A,0)),"")</f>
        <v/>
      </c>
      <c r="C100" s="11">
        <f>IFERROR(INDEX(Leads!$F:$F,MATCH($A100,Leads!$A:$A,0)),"")</f>
        <v/>
      </c>
      <c r="D100" s="11">
        <f>IFERROR(INDEX(Leads!$G:$G,MATCH($A100,Leads!$A:$A,0)),"")</f>
        <v/>
      </c>
      <c r="E100" s="11">
        <f>IFERROR(INDEX(Leads!$R:$R,MATCH($A100,Leads!$A:$A,0)),"")</f>
        <v/>
      </c>
      <c r="F100" s="11">
        <f>IFERROR(INDEX(Leads!$N:$N,MATCH($A100,Leads!$A:$A,0)),"")</f>
        <v/>
      </c>
      <c r="G100" s="11">
        <f>IFERROR(INDEX(Leads!$J:$J,MATCH($A100,Leads!$A:$A,0)),"")</f>
        <v/>
      </c>
      <c r="H100" s="12" t="inlineStr">
        <is>
          <t>Not started</t>
        </is>
      </c>
      <c r="I100" s="13" t="n"/>
      <c r="J100" s="13" t="n"/>
      <c r="K100" s="13" t="n"/>
      <c r="L100" s="13" t="n"/>
      <c r="M100" s="14">
        <f>IF(L100="","",L100+4)</f>
        <v/>
      </c>
      <c r="N100" s="13" t="n"/>
      <c r="O100" s="14">
        <f>IF(N100="","",N100+6)</f>
        <v/>
      </c>
      <c r="P100" s="13" t="n"/>
      <c r="Q100" s="13" t="n"/>
      <c r="R100" s="13" t="n"/>
      <c r="S100" s="13" t="n"/>
      <c r="T100" s="12" t="n"/>
      <c r="U100" s="12" t="n"/>
      <c r="V100" s="9" t="n"/>
      <c r="W100" s="13" t="n"/>
      <c r="X100" s="11">
        <f>IF(MAX(I100:L100,N100,P100:S100,AA100,AC100)=0,"",TODAY()-MAX(I100:L100,N100,P100:S100,AA100,AC100))</f>
        <v/>
      </c>
      <c r="Y100" s="9" t="n"/>
      <c r="Z100" s="11">
        <f>IFERROR(IF(INDEX(Leads!$X:$X,MATCH($A100,Leads!$A:$A,0))="","",INDEX(Leads!$X:$X,MATCH($A100,Leads!$A:$A,0))),"")</f>
        <v/>
      </c>
      <c r="AA100" s="13" t="n"/>
      <c r="AB100" s="14">
        <f>IF(AA100="","",AA100+5)</f>
        <v/>
      </c>
      <c r="AC100" s="13" t="n"/>
    </row>
    <row r="101">
      <c r="A101" s="11" t="inlineStr">
        <is>
          <t>G100</t>
        </is>
      </c>
      <c r="B101" s="11">
        <f>IFERROR(INDEX(Leads!$D:$D,MATCH($A101,Leads!$A:$A,0)),"")</f>
        <v/>
      </c>
      <c r="C101" s="11">
        <f>IFERROR(INDEX(Leads!$F:$F,MATCH($A101,Leads!$A:$A,0)),"")</f>
        <v/>
      </c>
      <c r="D101" s="11">
        <f>IFERROR(INDEX(Leads!$G:$G,MATCH($A101,Leads!$A:$A,0)),"")</f>
        <v/>
      </c>
      <c r="E101" s="11">
        <f>IFERROR(INDEX(Leads!$R:$R,MATCH($A101,Leads!$A:$A,0)),"")</f>
        <v/>
      </c>
      <c r="F101" s="11">
        <f>IFERROR(INDEX(Leads!$N:$N,MATCH($A101,Leads!$A:$A,0)),"")</f>
        <v/>
      </c>
      <c r="G101" s="11">
        <f>IFERROR(INDEX(Leads!$J:$J,MATCH($A101,Leads!$A:$A,0)),"")</f>
        <v/>
      </c>
      <c r="H101" s="12" t="inlineStr">
        <is>
          <t>Not started</t>
        </is>
      </c>
      <c r="I101" s="13" t="n"/>
      <c r="J101" s="13" t="n"/>
      <c r="K101" s="13" t="n"/>
      <c r="L101" s="13" t="n"/>
      <c r="M101" s="14">
        <f>IF(L101="","",L101+4)</f>
        <v/>
      </c>
      <c r="N101" s="13" t="n"/>
      <c r="O101" s="14">
        <f>IF(N101="","",N101+6)</f>
        <v/>
      </c>
      <c r="P101" s="13" t="n"/>
      <c r="Q101" s="13" t="n"/>
      <c r="R101" s="13" t="n"/>
      <c r="S101" s="13" t="n"/>
      <c r="T101" s="12" t="n"/>
      <c r="U101" s="12" t="n"/>
      <c r="V101" s="9" t="n"/>
      <c r="W101" s="13" t="n"/>
      <c r="X101" s="11">
        <f>IF(MAX(I101:L101,N101,P101:S101,AA101,AC101)=0,"",TODAY()-MAX(I101:L101,N101,P101:S101,AA101,AC101))</f>
        <v/>
      </c>
      <c r="Y101" s="9" t="n"/>
      <c r="Z101" s="11">
        <f>IFERROR(IF(INDEX(Leads!$X:$X,MATCH($A101,Leads!$A:$A,0))="","",INDEX(Leads!$X:$X,MATCH($A101,Leads!$A:$A,0))),"")</f>
        <v/>
      </c>
      <c r="AA101" s="13" t="n"/>
      <c r="AB101" s="14">
        <f>IF(AA101="","",AA101+5)</f>
        <v/>
      </c>
      <c r="AC101" s="13" t="n"/>
    </row>
    <row r="102">
      <c r="A102" s="11" t="inlineStr">
        <is>
          <t>G101</t>
        </is>
      </c>
      <c r="B102" s="11">
        <f>IFERROR(INDEX(Leads!$D:$D,MATCH($A102,Leads!$A:$A,0)),"")</f>
        <v/>
      </c>
      <c r="C102" s="11">
        <f>IFERROR(INDEX(Leads!$F:$F,MATCH($A102,Leads!$A:$A,0)),"")</f>
        <v/>
      </c>
      <c r="D102" s="11">
        <f>IFERROR(INDEX(Leads!$G:$G,MATCH($A102,Leads!$A:$A,0)),"")</f>
        <v/>
      </c>
      <c r="E102" s="11">
        <f>IFERROR(INDEX(Leads!$R:$R,MATCH($A102,Leads!$A:$A,0)),"")</f>
        <v/>
      </c>
      <c r="F102" s="11">
        <f>IFERROR(INDEX(Leads!$N:$N,MATCH($A102,Leads!$A:$A,0)),"")</f>
        <v/>
      </c>
      <c r="G102" s="11">
        <f>IFERROR(INDEX(Leads!$J:$J,MATCH($A102,Leads!$A:$A,0)),"")</f>
        <v/>
      </c>
      <c r="H102" s="12" t="inlineStr">
        <is>
          <t>Not started</t>
        </is>
      </c>
      <c r="I102" s="13" t="n"/>
      <c r="J102" s="13" t="n"/>
      <c r="K102" s="13" t="n"/>
      <c r="L102" s="13" t="n"/>
      <c r="M102" s="14">
        <f>IF(L102="","",L102+4)</f>
        <v/>
      </c>
      <c r="N102" s="13" t="n"/>
      <c r="O102" s="14">
        <f>IF(N102="","",N102+6)</f>
        <v/>
      </c>
      <c r="P102" s="13" t="n"/>
      <c r="Q102" s="13" t="n"/>
      <c r="R102" s="13" t="n"/>
      <c r="S102" s="13" t="n"/>
      <c r="T102" s="12" t="n"/>
      <c r="U102" s="12" t="n"/>
      <c r="V102" s="9" t="n"/>
      <c r="W102" s="13" t="n"/>
      <c r="X102" s="11">
        <f>IF(MAX(I102:L102,N102,P102:S102,AA102,AC102)=0,"",TODAY()-MAX(I102:L102,N102,P102:S102,AA102,AC102))</f>
        <v/>
      </c>
      <c r="Y102" s="9" t="n"/>
      <c r="Z102" s="11">
        <f>IFERROR(IF(INDEX(Leads!$X:$X,MATCH($A102,Leads!$A:$A,0))="","",INDEX(Leads!$X:$X,MATCH($A102,Leads!$A:$A,0))),"")</f>
        <v/>
      </c>
      <c r="AA102" s="13" t="n"/>
      <c r="AB102" s="14">
        <f>IF(AA102="","",AA102+5)</f>
        <v/>
      </c>
      <c r="AC102" s="13" t="n"/>
    </row>
    <row r="103">
      <c r="A103" s="11" t="inlineStr">
        <is>
          <t>G102</t>
        </is>
      </c>
      <c r="B103" s="11">
        <f>IFERROR(INDEX(Leads!$D:$D,MATCH($A103,Leads!$A:$A,0)),"")</f>
        <v/>
      </c>
      <c r="C103" s="11">
        <f>IFERROR(INDEX(Leads!$F:$F,MATCH($A103,Leads!$A:$A,0)),"")</f>
        <v/>
      </c>
      <c r="D103" s="11">
        <f>IFERROR(INDEX(Leads!$G:$G,MATCH($A103,Leads!$A:$A,0)),"")</f>
        <v/>
      </c>
      <c r="E103" s="11">
        <f>IFERROR(INDEX(Leads!$R:$R,MATCH($A103,Leads!$A:$A,0)),"")</f>
        <v/>
      </c>
      <c r="F103" s="11">
        <f>IFERROR(INDEX(Leads!$N:$N,MATCH($A103,Leads!$A:$A,0)),"")</f>
        <v/>
      </c>
      <c r="G103" s="11">
        <f>IFERROR(INDEX(Leads!$J:$J,MATCH($A103,Leads!$A:$A,0)),"")</f>
        <v/>
      </c>
      <c r="H103" s="12" t="inlineStr">
        <is>
          <t>Not started</t>
        </is>
      </c>
      <c r="I103" s="13" t="n"/>
      <c r="J103" s="13" t="n"/>
      <c r="K103" s="13" t="n"/>
      <c r="L103" s="13" t="n"/>
      <c r="M103" s="14">
        <f>IF(L103="","",L103+4)</f>
        <v/>
      </c>
      <c r="N103" s="13" t="n"/>
      <c r="O103" s="14">
        <f>IF(N103="","",N103+6)</f>
        <v/>
      </c>
      <c r="P103" s="13" t="n"/>
      <c r="Q103" s="13" t="n"/>
      <c r="R103" s="13" t="n"/>
      <c r="S103" s="13" t="n"/>
      <c r="T103" s="12" t="n"/>
      <c r="U103" s="12" t="n"/>
      <c r="V103" s="9" t="n"/>
      <c r="W103" s="13" t="n"/>
      <c r="X103" s="11">
        <f>IF(MAX(I103:L103,N103,P103:S103,AA103,AC103)=0,"",TODAY()-MAX(I103:L103,N103,P103:S103,AA103,AC103))</f>
        <v/>
      </c>
      <c r="Y103" s="9" t="n"/>
      <c r="Z103" s="11">
        <f>IFERROR(IF(INDEX(Leads!$X:$X,MATCH($A103,Leads!$A:$A,0))="","",INDEX(Leads!$X:$X,MATCH($A103,Leads!$A:$A,0))),"")</f>
        <v/>
      </c>
      <c r="AA103" s="13" t="n"/>
      <c r="AB103" s="14">
        <f>IF(AA103="","",AA103+5)</f>
        <v/>
      </c>
      <c r="AC103" s="13" t="n"/>
    </row>
    <row r="104">
      <c r="A104" s="11" t="inlineStr">
        <is>
          <t>G103</t>
        </is>
      </c>
      <c r="B104" s="11">
        <f>IFERROR(INDEX(Leads!$D:$D,MATCH($A104,Leads!$A:$A,0)),"")</f>
        <v/>
      </c>
      <c r="C104" s="11">
        <f>IFERROR(INDEX(Leads!$F:$F,MATCH($A104,Leads!$A:$A,0)),"")</f>
        <v/>
      </c>
      <c r="D104" s="11">
        <f>IFERROR(INDEX(Leads!$G:$G,MATCH($A104,Leads!$A:$A,0)),"")</f>
        <v/>
      </c>
      <c r="E104" s="11">
        <f>IFERROR(INDEX(Leads!$R:$R,MATCH($A104,Leads!$A:$A,0)),"")</f>
        <v/>
      </c>
      <c r="F104" s="11">
        <f>IFERROR(INDEX(Leads!$N:$N,MATCH($A104,Leads!$A:$A,0)),"")</f>
        <v/>
      </c>
      <c r="G104" s="11">
        <f>IFERROR(INDEX(Leads!$J:$J,MATCH($A104,Leads!$A:$A,0)),"")</f>
        <v/>
      </c>
      <c r="H104" s="12" t="inlineStr">
        <is>
          <t>Not started</t>
        </is>
      </c>
      <c r="I104" s="13" t="n"/>
      <c r="J104" s="13" t="n"/>
      <c r="K104" s="13" t="n"/>
      <c r="L104" s="13" t="n"/>
      <c r="M104" s="14">
        <f>IF(L104="","",L104+4)</f>
        <v/>
      </c>
      <c r="N104" s="13" t="n"/>
      <c r="O104" s="14">
        <f>IF(N104="","",N104+6)</f>
        <v/>
      </c>
      <c r="P104" s="13" t="n"/>
      <c r="Q104" s="13" t="n"/>
      <c r="R104" s="13" t="n"/>
      <c r="S104" s="13" t="n"/>
      <c r="T104" s="12" t="n"/>
      <c r="U104" s="12" t="n"/>
      <c r="V104" s="9" t="n"/>
      <c r="W104" s="13" t="n"/>
      <c r="X104" s="11">
        <f>IF(MAX(I104:L104,N104,P104:S104,AA104,AC104)=0,"",TODAY()-MAX(I104:L104,N104,P104:S104,AA104,AC104))</f>
        <v/>
      </c>
      <c r="Y104" s="9" t="n"/>
      <c r="Z104" s="11">
        <f>IFERROR(IF(INDEX(Leads!$X:$X,MATCH($A104,Leads!$A:$A,0))="","",INDEX(Leads!$X:$X,MATCH($A104,Leads!$A:$A,0))),"")</f>
        <v/>
      </c>
      <c r="AA104" s="13" t="n"/>
      <c r="AB104" s="14">
        <f>IF(AA104="","",AA104+5)</f>
        <v/>
      </c>
      <c r="AC104" s="13" t="n"/>
    </row>
    <row r="105">
      <c r="A105" s="11" t="inlineStr">
        <is>
          <t>G104</t>
        </is>
      </c>
      <c r="B105" s="11">
        <f>IFERROR(INDEX(Leads!$D:$D,MATCH($A105,Leads!$A:$A,0)),"")</f>
        <v/>
      </c>
      <c r="C105" s="11">
        <f>IFERROR(INDEX(Leads!$F:$F,MATCH($A105,Leads!$A:$A,0)),"")</f>
        <v/>
      </c>
      <c r="D105" s="11">
        <f>IFERROR(INDEX(Leads!$G:$G,MATCH($A105,Leads!$A:$A,0)),"")</f>
        <v/>
      </c>
      <c r="E105" s="11">
        <f>IFERROR(INDEX(Leads!$R:$R,MATCH($A105,Leads!$A:$A,0)),"")</f>
        <v/>
      </c>
      <c r="F105" s="11">
        <f>IFERROR(INDEX(Leads!$N:$N,MATCH($A105,Leads!$A:$A,0)),"")</f>
        <v/>
      </c>
      <c r="G105" s="11">
        <f>IFERROR(INDEX(Leads!$J:$J,MATCH($A105,Leads!$A:$A,0)),"")</f>
        <v/>
      </c>
      <c r="H105" s="12" t="inlineStr">
        <is>
          <t>Not started</t>
        </is>
      </c>
      <c r="I105" s="13" t="n"/>
      <c r="J105" s="13" t="n"/>
      <c r="K105" s="13" t="n"/>
      <c r="L105" s="13" t="n"/>
      <c r="M105" s="14">
        <f>IF(L105="","",L105+4)</f>
        <v/>
      </c>
      <c r="N105" s="13" t="n"/>
      <c r="O105" s="14">
        <f>IF(N105="","",N105+6)</f>
        <v/>
      </c>
      <c r="P105" s="13" t="n"/>
      <c r="Q105" s="13" t="n"/>
      <c r="R105" s="13" t="n"/>
      <c r="S105" s="13" t="n"/>
      <c r="T105" s="12" t="n"/>
      <c r="U105" s="12" t="n"/>
      <c r="V105" s="9" t="n"/>
      <c r="W105" s="13" t="n"/>
      <c r="X105" s="11">
        <f>IF(MAX(I105:L105,N105,P105:S105,AA105,AC105)=0,"",TODAY()-MAX(I105:L105,N105,P105:S105,AA105,AC105))</f>
        <v/>
      </c>
      <c r="Y105" s="9" t="n"/>
      <c r="Z105" s="11">
        <f>IFERROR(IF(INDEX(Leads!$X:$X,MATCH($A105,Leads!$A:$A,0))="","",INDEX(Leads!$X:$X,MATCH($A105,Leads!$A:$A,0))),"")</f>
        <v/>
      </c>
      <c r="AA105" s="13" t="n"/>
      <c r="AB105" s="14">
        <f>IF(AA105="","",AA105+5)</f>
        <v/>
      </c>
      <c r="AC105" s="13" t="n"/>
    </row>
    <row r="106">
      <c r="A106" s="11" t="inlineStr">
        <is>
          <t>G105</t>
        </is>
      </c>
      <c r="B106" s="11">
        <f>IFERROR(INDEX(Leads!$D:$D,MATCH($A106,Leads!$A:$A,0)),"")</f>
        <v/>
      </c>
      <c r="C106" s="11">
        <f>IFERROR(INDEX(Leads!$F:$F,MATCH($A106,Leads!$A:$A,0)),"")</f>
        <v/>
      </c>
      <c r="D106" s="11">
        <f>IFERROR(INDEX(Leads!$G:$G,MATCH($A106,Leads!$A:$A,0)),"")</f>
        <v/>
      </c>
      <c r="E106" s="11">
        <f>IFERROR(INDEX(Leads!$R:$R,MATCH($A106,Leads!$A:$A,0)),"")</f>
        <v/>
      </c>
      <c r="F106" s="11">
        <f>IFERROR(INDEX(Leads!$N:$N,MATCH($A106,Leads!$A:$A,0)),"")</f>
        <v/>
      </c>
      <c r="G106" s="11">
        <f>IFERROR(INDEX(Leads!$J:$J,MATCH($A106,Leads!$A:$A,0)),"")</f>
        <v/>
      </c>
      <c r="H106" s="12" t="inlineStr">
        <is>
          <t>Not started</t>
        </is>
      </c>
      <c r="I106" s="13" t="n"/>
      <c r="J106" s="13" t="n"/>
      <c r="K106" s="13" t="n"/>
      <c r="L106" s="13" t="n"/>
      <c r="M106" s="14">
        <f>IF(L106="","",L106+4)</f>
        <v/>
      </c>
      <c r="N106" s="13" t="n"/>
      <c r="O106" s="14">
        <f>IF(N106="","",N106+6)</f>
        <v/>
      </c>
      <c r="P106" s="13" t="n"/>
      <c r="Q106" s="13" t="n"/>
      <c r="R106" s="13" t="n"/>
      <c r="S106" s="13" t="n"/>
      <c r="T106" s="12" t="n"/>
      <c r="U106" s="12" t="n"/>
      <c r="V106" s="9" t="n"/>
      <c r="W106" s="13" t="n"/>
      <c r="X106" s="11">
        <f>IF(MAX(I106:L106,N106,P106:S106,AA106,AC106)=0,"",TODAY()-MAX(I106:L106,N106,P106:S106,AA106,AC106))</f>
        <v/>
      </c>
      <c r="Y106" s="9" t="n"/>
      <c r="Z106" s="11">
        <f>IFERROR(IF(INDEX(Leads!$X:$X,MATCH($A106,Leads!$A:$A,0))="","",INDEX(Leads!$X:$X,MATCH($A106,Leads!$A:$A,0))),"")</f>
        <v/>
      </c>
      <c r="AA106" s="13" t="n"/>
      <c r="AB106" s="14">
        <f>IF(AA106="","",AA106+5)</f>
        <v/>
      </c>
      <c r="AC106" s="13" t="n"/>
    </row>
    <row r="107">
      <c r="A107" s="11" t="inlineStr">
        <is>
          <t>G106</t>
        </is>
      </c>
      <c r="B107" s="11">
        <f>IFERROR(INDEX(Leads!$D:$D,MATCH($A107,Leads!$A:$A,0)),"")</f>
        <v/>
      </c>
      <c r="C107" s="11">
        <f>IFERROR(INDEX(Leads!$F:$F,MATCH($A107,Leads!$A:$A,0)),"")</f>
        <v/>
      </c>
      <c r="D107" s="11">
        <f>IFERROR(INDEX(Leads!$G:$G,MATCH($A107,Leads!$A:$A,0)),"")</f>
        <v/>
      </c>
      <c r="E107" s="11">
        <f>IFERROR(INDEX(Leads!$R:$R,MATCH($A107,Leads!$A:$A,0)),"")</f>
        <v/>
      </c>
      <c r="F107" s="11">
        <f>IFERROR(INDEX(Leads!$N:$N,MATCH($A107,Leads!$A:$A,0)),"")</f>
        <v/>
      </c>
      <c r="G107" s="11">
        <f>IFERROR(INDEX(Leads!$J:$J,MATCH($A107,Leads!$A:$A,0)),"")</f>
        <v/>
      </c>
      <c r="H107" s="12" t="inlineStr">
        <is>
          <t>Not started</t>
        </is>
      </c>
      <c r="I107" s="13" t="n"/>
      <c r="J107" s="13" t="n"/>
      <c r="K107" s="13" t="n"/>
      <c r="L107" s="13" t="n"/>
      <c r="M107" s="14">
        <f>IF(L107="","",L107+4)</f>
        <v/>
      </c>
      <c r="N107" s="13" t="n"/>
      <c r="O107" s="14">
        <f>IF(N107="","",N107+6)</f>
        <v/>
      </c>
      <c r="P107" s="13" t="n"/>
      <c r="Q107" s="13" t="n"/>
      <c r="R107" s="13" t="n"/>
      <c r="S107" s="13" t="n"/>
      <c r="T107" s="12" t="n"/>
      <c r="U107" s="12" t="n"/>
      <c r="V107" s="9" t="n"/>
      <c r="W107" s="13" t="n"/>
      <c r="X107" s="11">
        <f>IF(MAX(I107:L107,N107,P107:S107,AA107,AC107)=0,"",TODAY()-MAX(I107:L107,N107,P107:S107,AA107,AC107))</f>
        <v/>
      </c>
      <c r="Y107" s="9" t="n"/>
      <c r="Z107" s="11">
        <f>IFERROR(IF(INDEX(Leads!$X:$X,MATCH($A107,Leads!$A:$A,0))="","",INDEX(Leads!$X:$X,MATCH($A107,Leads!$A:$A,0))),"")</f>
        <v/>
      </c>
      <c r="AA107" s="13" t="n"/>
      <c r="AB107" s="14">
        <f>IF(AA107="","",AA107+5)</f>
        <v/>
      </c>
      <c r="AC107" s="13" t="n"/>
    </row>
    <row r="108">
      <c r="A108" s="11" t="inlineStr">
        <is>
          <t>G107</t>
        </is>
      </c>
      <c r="B108" s="11">
        <f>IFERROR(INDEX(Leads!$D:$D,MATCH($A108,Leads!$A:$A,0)),"")</f>
        <v/>
      </c>
      <c r="C108" s="11">
        <f>IFERROR(INDEX(Leads!$F:$F,MATCH($A108,Leads!$A:$A,0)),"")</f>
        <v/>
      </c>
      <c r="D108" s="11">
        <f>IFERROR(INDEX(Leads!$G:$G,MATCH($A108,Leads!$A:$A,0)),"")</f>
        <v/>
      </c>
      <c r="E108" s="11">
        <f>IFERROR(INDEX(Leads!$R:$R,MATCH($A108,Leads!$A:$A,0)),"")</f>
        <v/>
      </c>
      <c r="F108" s="11">
        <f>IFERROR(INDEX(Leads!$N:$N,MATCH($A108,Leads!$A:$A,0)),"")</f>
        <v/>
      </c>
      <c r="G108" s="11">
        <f>IFERROR(INDEX(Leads!$J:$J,MATCH($A108,Leads!$A:$A,0)),"")</f>
        <v/>
      </c>
      <c r="H108" s="12" t="inlineStr">
        <is>
          <t>Not started</t>
        </is>
      </c>
      <c r="I108" s="13" t="n"/>
      <c r="J108" s="13" t="n"/>
      <c r="K108" s="13" t="n"/>
      <c r="L108" s="13" t="n"/>
      <c r="M108" s="14">
        <f>IF(L108="","",L108+4)</f>
        <v/>
      </c>
      <c r="N108" s="13" t="n"/>
      <c r="O108" s="14">
        <f>IF(N108="","",N108+6)</f>
        <v/>
      </c>
      <c r="P108" s="13" t="n"/>
      <c r="Q108" s="13" t="n"/>
      <c r="R108" s="13" t="n"/>
      <c r="S108" s="13" t="n"/>
      <c r="T108" s="12" t="n"/>
      <c r="U108" s="12" t="n"/>
      <c r="V108" s="9" t="n"/>
      <c r="W108" s="13" t="n"/>
      <c r="X108" s="11">
        <f>IF(MAX(I108:L108,N108,P108:S108,AA108,AC108)=0,"",TODAY()-MAX(I108:L108,N108,P108:S108,AA108,AC108))</f>
        <v/>
      </c>
      <c r="Y108" s="9" t="n"/>
      <c r="Z108" s="11">
        <f>IFERROR(IF(INDEX(Leads!$X:$X,MATCH($A108,Leads!$A:$A,0))="","",INDEX(Leads!$X:$X,MATCH($A108,Leads!$A:$A,0))),"")</f>
        <v/>
      </c>
      <c r="AA108" s="13" t="n"/>
      <c r="AB108" s="14">
        <f>IF(AA108="","",AA108+5)</f>
        <v/>
      </c>
      <c r="AC108" s="13" t="n"/>
    </row>
    <row r="109">
      <c r="A109" s="11" t="inlineStr">
        <is>
          <t>G108</t>
        </is>
      </c>
      <c r="B109" s="11">
        <f>IFERROR(INDEX(Leads!$D:$D,MATCH($A109,Leads!$A:$A,0)),"")</f>
        <v/>
      </c>
      <c r="C109" s="11">
        <f>IFERROR(INDEX(Leads!$F:$F,MATCH($A109,Leads!$A:$A,0)),"")</f>
        <v/>
      </c>
      <c r="D109" s="11">
        <f>IFERROR(INDEX(Leads!$G:$G,MATCH($A109,Leads!$A:$A,0)),"")</f>
        <v/>
      </c>
      <c r="E109" s="11">
        <f>IFERROR(INDEX(Leads!$R:$R,MATCH($A109,Leads!$A:$A,0)),"")</f>
        <v/>
      </c>
      <c r="F109" s="11">
        <f>IFERROR(INDEX(Leads!$N:$N,MATCH($A109,Leads!$A:$A,0)),"")</f>
        <v/>
      </c>
      <c r="G109" s="11">
        <f>IFERROR(INDEX(Leads!$J:$J,MATCH($A109,Leads!$A:$A,0)),"")</f>
        <v/>
      </c>
      <c r="H109" s="12" t="inlineStr">
        <is>
          <t>Not started</t>
        </is>
      </c>
      <c r="I109" s="13" t="n"/>
      <c r="J109" s="13" t="n"/>
      <c r="K109" s="13" t="n"/>
      <c r="L109" s="13" t="n"/>
      <c r="M109" s="14">
        <f>IF(L109="","",L109+4)</f>
        <v/>
      </c>
      <c r="N109" s="13" t="n"/>
      <c r="O109" s="14">
        <f>IF(N109="","",N109+6)</f>
        <v/>
      </c>
      <c r="P109" s="13" t="n"/>
      <c r="Q109" s="13" t="n"/>
      <c r="R109" s="13" t="n"/>
      <c r="S109" s="13" t="n"/>
      <c r="T109" s="12" t="n"/>
      <c r="U109" s="12" t="n"/>
      <c r="V109" s="9" t="n"/>
      <c r="W109" s="13" t="n"/>
      <c r="X109" s="11">
        <f>IF(MAX(I109:L109,N109,P109:S109,AA109,AC109)=0,"",TODAY()-MAX(I109:L109,N109,P109:S109,AA109,AC109))</f>
        <v/>
      </c>
      <c r="Y109" s="9" t="n"/>
      <c r="Z109" s="11">
        <f>IFERROR(IF(INDEX(Leads!$X:$X,MATCH($A109,Leads!$A:$A,0))="","",INDEX(Leads!$X:$X,MATCH($A109,Leads!$A:$A,0))),"")</f>
        <v/>
      </c>
      <c r="AA109" s="13" t="n"/>
      <c r="AB109" s="14">
        <f>IF(AA109="","",AA109+5)</f>
        <v/>
      </c>
      <c r="AC109" s="13" t="n"/>
    </row>
    <row r="110">
      <c r="A110" s="11" t="inlineStr">
        <is>
          <t>G109</t>
        </is>
      </c>
      <c r="B110" s="11">
        <f>IFERROR(INDEX(Leads!$D:$D,MATCH($A110,Leads!$A:$A,0)),"")</f>
        <v/>
      </c>
      <c r="C110" s="11">
        <f>IFERROR(INDEX(Leads!$F:$F,MATCH($A110,Leads!$A:$A,0)),"")</f>
        <v/>
      </c>
      <c r="D110" s="11">
        <f>IFERROR(INDEX(Leads!$G:$G,MATCH($A110,Leads!$A:$A,0)),"")</f>
        <v/>
      </c>
      <c r="E110" s="11">
        <f>IFERROR(INDEX(Leads!$R:$R,MATCH($A110,Leads!$A:$A,0)),"")</f>
        <v/>
      </c>
      <c r="F110" s="11">
        <f>IFERROR(INDEX(Leads!$N:$N,MATCH($A110,Leads!$A:$A,0)),"")</f>
        <v/>
      </c>
      <c r="G110" s="11">
        <f>IFERROR(INDEX(Leads!$J:$J,MATCH($A110,Leads!$A:$A,0)),"")</f>
        <v/>
      </c>
      <c r="H110" s="12" t="inlineStr">
        <is>
          <t>Not started</t>
        </is>
      </c>
      <c r="I110" s="13" t="n"/>
      <c r="J110" s="13" t="n"/>
      <c r="K110" s="13" t="n"/>
      <c r="L110" s="13" t="n"/>
      <c r="M110" s="14">
        <f>IF(L110="","",L110+4)</f>
        <v/>
      </c>
      <c r="N110" s="13" t="n"/>
      <c r="O110" s="14">
        <f>IF(N110="","",N110+6)</f>
        <v/>
      </c>
      <c r="P110" s="13" t="n"/>
      <c r="Q110" s="13" t="n"/>
      <c r="R110" s="13" t="n"/>
      <c r="S110" s="13" t="n"/>
      <c r="T110" s="12" t="n"/>
      <c r="U110" s="12" t="n"/>
      <c r="V110" s="9" t="n"/>
      <c r="W110" s="13" t="n"/>
      <c r="X110" s="11">
        <f>IF(MAX(I110:L110,N110,P110:S110,AA110,AC110)=0,"",TODAY()-MAX(I110:L110,N110,P110:S110,AA110,AC110))</f>
        <v/>
      </c>
      <c r="Y110" s="9" t="n"/>
      <c r="Z110" s="11">
        <f>IFERROR(IF(INDEX(Leads!$X:$X,MATCH($A110,Leads!$A:$A,0))="","",INDEX(Leads!$X:$X,MATCH($A110,Leads!$A:$A,0))),"")</f>
        <v/>
      </c>
      <c r="AA110" s="13" t="n"/>
      <c r="AB110" s="14">
        <f>IF(AA110="","",AA110+5)</f>
        <v/>
      </c>
      <c r="AC110" s="13" t="n"/>
    </row>
    <row r="111">
      <c r="A111" s="11" t="inlineStr">
        <is>
          <t>G110</t>
        </is>
      </c>
      <c r="B111" s="11">
        <f>IFERROR(INDEX(Leads!$D:$D,MATCH($A111,Leads!$A:$A,0)),"")</f>
        <v/>
      </c>
      <c r="C111" s="11">
        <f>IFERROR(INDEX(Leads!$F:$F,MATCH($A111,Leads!$A:$A,0)),"")</f>
        <v/>
      </c>
      <c r="D111" s="11">
        <f>IFERROR(INDEX(Leads!$G:$G,MATCH($A111,Leads!$A:$A,0)),"")</f>
        <v/>
      </c>
      <c r="E111" s="11">
        <f>IFERROR(INDEX(Leads!$R:$R,MATCH($A111,Leads!$A:$A,0)),"")</f>
        <v/>
      </c>
      <c r="F111" s="11">
        <f>IFERROR(INDEX(Leads!$N:$N,MATCH($A111,Leads!$A:$A,0)),"")</f>
        <v/>
      </c>
      <c r="G111" s="11">
        <f>IFERROR(INDEX(Leads!$J:$J,MATCH($A111,Leads!$A:$A,0)),"")</f>
        <v/>
      </c>
      <c r="H111" s="12" t="inlineStr">
        <is>
          <t>Not started</t>
        </is>
      </c>
      <c r="I111" s="13" t="n"/>
      <c r="J111" s="13" t="n"/>
      <c r="K111" s="13" t="n"/>
      <c r="L111" s="13" t="n"/>
      <c r="M111" s="14">
        <f>IF(L111="","",L111+4)</f>
        <v/>
      </c>
      <c r="N111" s="13" t="n"/>
      <c r="O111" s="14">
        <f>IF(N111="","",N111+6)</f>
        <v/>
      </c>
      <c r="P111" s="13" t="n"/>
      <c r="Q111" s="13" t="n"/>
      <c r="R111" s="13" t="n"/>
      <c r="S111" s="13" t="n"/>
      <c r="T111" s="12" t="n"/>
      <c r="U111" s="12" t="n"/>
      <c r="V111" s="9" t="n"/>
      <c r="W111" s="13" t="n"/>
      <c r="X111" s="11">
        <f>IF(MAX(I111:L111,N111,P111:S111,AA111,AC111)=0,"",TODAY()-MAX(I111:L111,N111,P111:S111,AA111,AC111))</f>
        <v/>
      </c>
      <c r="Y111" s="9" t="n"/>
      <c r="Z111" s="11">
        <f>IFERROR(IF(INDEX(Leads!$X:$X,MATCH($A111,Leads!$A:$A,0))="","",INDEX(Leads!$X:$X,MATCH($A111,Leads!$A:$A,0))),"")</f>
        <v/>
      </c>
      <c r="AA111" s="13" t="n"/>
      <c r="AB111" s="14">
        <f>IF(AA111="","",AA111+5)</f>
        <v/>
      </c>
      <c r="AC111" s="13" t="n"/>
    </row>
    <row r="112">
      <c r="A112" s="11" t="inlineStr">
        <is>
          <t>G111</t>
        </is>
      </c>
      <c r="B112" s="11">
        <f>IFERROR(INDEX(Leads!$D:$D,MATCH($A112,Leads!$A:$A,0)),"")</f>
        <v/>
      </c>
      <c r="C112" s="11">
        <f>IFERROR(INDEX(Leads!$F:$F,MATCH($A112,Leads!$A:$A,0)),"")</f>
        <v/>
      </c>
      <c r="D112" s="11">
        <f>IFERROR(INDEX(Leads!$G:$G,MATCH($A112,Leads!$A:$A,0)),"")</f>
        <v/>
      </c>
      <c r="E112" s="11">
        <f>IFERROR(INDEX(Leads!$R:$R,MATCH($A112,Leads!$A:$A,0)),"")</f>
        <v/>
      </c>
      <c r="F112" s="11">
        <f>IFERROR(INDEX(Leads!$N:$N,MATCH($A112,Leads!$A:$A,0)),"")</f>
        <v/>
      </c>
      <c r="G112" s="11">
        <f>IFERROR(INDEX(Leads!$J:$J,MATCH($A112,Leads!$A:$A,0)),"")</f>
        <v/>
      </c>
      <c r="H112" s="12" t="inlineStr">
        <is>
          <t>Not started</t>
        </is>
      </c>
      <c r="I112" s="13" t="n"/>
      <c r="J112" s="13" t="n"/>
      <c r="K112" s="13" t="n"/>
      <c r="L112" s="13" t="n"/>
      <c r="M112" s="14">
        <f>IF(L112="","",L112+4)</f>
        <v/>
      </c>
      <c r="N112" s="13" t="n"/>
      <c r="O112" s="14">
        <f>IF(N112="","",N112+6)</f>
        <v/>
      </c>
      <c r="P112" s="13" t="n"/>
      <c r="Q112" s="13" t="n"/>
      <c r="R112" s="13" t="n"/>
      <c r="S112" s="13" t="n"/>
      <c r="T112" s="12" t="n"/>
      <c r="U112" s="12" t="n"/>
      <c r="V112" s="9" t="n"/>
      <c r="W112" s="13" t="n"/>
      <c r="X112" s="11">
        <f>IF(MAX(I112:L112,N112,P112:S112,AA112,AC112)=0,"",TODAY()-MAX(I112:L112,N112,P112:S112,AA112,AC112))</f>
        <v/>
      </c>
      <c r="Y112" s="9" t="n"/>
      <c r="Z112" s="11">
        <f>IFERROR(IF(INDEX(Leads!$X:$X,MATCH($A112,Leads!$A:$A,0))="","",INDEX(Leads!$X:$X,MATCH($A112,Leads!$A:$A,0))),"")</f>
        <v/>
      </c>
      <c r="AA112" s="13" t="n"/>
      <c r="AB112" s="14">
        <f>IF(AA112="","",AA112+5)</f>
        <v/>
      </c>
      <c r="AC112" s="13" t="n"/>
    </row>
    <row r="113">
      <c r="A113" s="11" t="inlineStr">
        <is>
          <t>G112</t>
        </is>
      </c>
      <c r="B113" s="11">
        <f>IFERROR(INDEX(Leads!$D:$D,MATCH($A113,Leads!$A:$A,0)),"")</f>
        <v/>
      </c>
      <c r="C113" s="11">
        <f>IFERROR(INDEX(Leads!$F:$F,MATCH($A113,Leads!$A:$A,0)),"")</f>
        <v/>
      </c>
      <c r="D113" s="11">
        <f>IFERROR(INDEX(Leads!$G:$G,MATCH($A113,Leads!$A:$A,0)),"")</f>
        <v/>
      </c>
      <c r="E113" s="11">
        <f>IFERROR(INDEX(Leads!$R:$R,MATCH($A113,Leads!$A:$A,0)),"")</f>
        <v/>
      </c>
      <c r="F113" s="11">
        <f>IFERROR(INDEX(Leads!$N:$N,MATCH($A113,Leads!$A:$A,0)),"")</f>
        <v/>
      </c>
      <c r="G113" s="11">
        <f>IFERROR(INDEX(Leads!$J:$J,MATCH($A113,Leads!$A:$A,0)),"")</f>
        <v/>
      </c>
      <c r="H113" s="12" t="inlineStr">
        <is>
          <t>Not started</t>
        </is>
      </c>
      <c r="I113" s="13" t="n"/>
      <c r="J113" s="13" t="n"/>
      <c r="K113" s="13" t="n"/>
      <c r="L113" s="13" t="n"/>
      <c r="M113" s="14">
        <f>IF(L113="","",L113+4)</f>
        <v/>
      </c>
      <c r="N113" s="13" t="n"/>
      <c r="O113" s="14">
        <f>IF(N113="","",N113+6)</f>
        <v/>
      </c>
      <c r="P113" s="13" t="n"/>
      <c r="Q113" s="13" t="n"/>
      <c r="R113" s="13" t="n"/>
      <c r="S113" s="13" t="n"/>
      <c r="T113" s="12" t="n"/>
      <c r="U113" s="12" t="n"/>
      <c r="V113" s="9" t="n"/>
      <c r="W113" s="13" t="n"/>
      <c r="X113" s="11">
        <f>IF(MAX(I113:L113,N113,P113:S113,AA113,AC113)=0,"",TODAY()-MAX(I113:L113,N113,P113:S113,AA113,AC113))</f>
        <v/>
      </c>
      <c r="Y113" s="9" t="n"/>
      <c r="Z113" s="11">
        <f>IFERROR(IF(INDEX(Leads!$X:$X,MATCH($A113,Leads!$A:$A,0))="","",INDEX(Leads!$X:$X,MATCH($A113,Leads!$A:$A,0))),"")</f>
        <v/>
      </c>
      <c r="AA113" s="13" t="n"/>
      <c r="AB113" s="14">
        <f>IF(AA113="","",AA113+5)</f>
        <v/>
      </c>
      <c r="AC113" s="13" t="n"/>
    </row>
    <row r="114">
      <c r="A114" s="11" t="inlineStr">
        <is>
          <t>G113</t>
        </is>
      </c>
      <c r="B114" s="11">
        <f>IFERROR(INDEX(Leads!$D:$D,MATCH($A114,Leads!$A:$A,0)),"")</f>
        <v/>
      </c>
      <c r="C114" s="11">
        <f>IFERROR(INDEX(Leads!$F:$F,MATCH($A114,Leads!$A:$A,0)),"")</f>
        <v/>
      </c>
      <c r="D114" s="11">
        <f>IFERROR(INDEX(Leads!$G:$G,MATCH($A114,Leads!$A:$A,0)),"")</f>
        <v/>
      </c>
      <c r="E114" s="11">
        <f>IFERROR(INDEX(Leads!$R:$R,MATCH($A114,Leads!$A:$A,0)),"")</f>
        <v/>
      </c>
      <c r="F114" s="11">
        <f>IFERROR(INDEX(Leads!$N:$N,MATCH($A114,Leads!$A:$A,0)),"")</f>
        <v/>
      </c>
      <c r="G114" s="11">
        <f>IFERROR(INDEX(Leads!$J:$J,MATCH($A114,Leads!$A:$A,0)),"")</f>
        <v/>
      </c>
      <c r="H114" s="12" t="inlineStr">
        <is>
          <t>Not started</t>
        </is>
      </c>
      <c r="I114" s="13" t="n"/>
      <c r="J114" s="13" t="n"/>
      <c r="K114" s="13" t="n"/>
      <c r="L114" s="13" t="n"/>
      <c r="M114" s="14">
        <f>IF(L114="","",L114+4)</f>
        <v/>
      </c>
      <c r="N114" s="13" t="n"/>
      <c r="O114" s="14">
        <f>IF(N114="","",N114+6)</f>
        <v/>
      </c>
      <c r="P114" s="13" t="n"/>
      <c r="Q114" s="13" t="n"/>
      <c r="R114" s="13" t="n"/>
      <c r="S114" s="13" t="n"/>
      <c r="T114" s="12" t="n"/>
      <c r="U114" s="12" t="n"/>
      <c r="V114" s="9" t="n"/>
      <c r="W114" s="13" t="n"/>
      <c r="X114" s="11">
        <f>IF(MAX(I114:L114,N114,P114:S114,AA114,AC114)=0,"",TODAY()-MAX(I114:L114,N114,P114:S114,AA114,AC114))</f>
        <v/>
      </c>
      <c r="Y114" s="9" t="n"/>
      <c r="Z114" s="11">
        <f>IFERROR(IF(INDEX(Leads!$X:$X,MATCH($A114,Leads!$A:$A,0))="","",INDEX(Leads!$X:$X,MATCH($A114,Leads!$A:$A,0))),"")</f>
        <v/>
      </c>
      <c r="AA114" s="13" t="n"/>
      <c r="AB114" s="14">
        <f>IF(AA114="","",AA114+5)</f>
        <v/>
      </c>
      <c r="AC114" s="13" t="n"/>
    </row>
    <row r="115">
      <c r="A115" s="11" t="inlineStr">
        <is>
          <t>G114</t>
        </is>
      </c>
      <c r="B115" s="11">
        <f>IFERROR(INDEX(Leads!$D:$D,MATCH($A115,Leads!$A:$A,0)),"")</f>
        <v/>
      </c>
      <c r="C115" s="11">
        <f>IFERROR(INDEX(Leads!$F:$F,MATCH($A115,Leads!$A:$A,0)),"")</f>
        <v/>
      </c>
      <c r="D115" s="11">
        <f>IFERROR(INDEX(Leads!$G:$G,MATCH($A115,Leads!$A:$A,0)),"")</f>
        <v/>
      </c>
      <c r="E115" s="11">
        <f>IFERROR(INDEX(Leads!$R:$R,MATCH($A115,Leads!$A:$A,0)),"")</f>
        <v/>
      </c>
      <c r="F115" s="11">
        <f>IFERROR(INDEX(Leads!$N:$N,MATCH($A115,Leads!$A:$A,0)),"")</f>
        <v/>
      </c>
      <c r="G115" s="11">
        <f>IFERROR(INDEX(Leads!$J:$J,MATCH($A115,Leads!$A:$A,0)),"")</f>
        <v/>
      </c>
      <c r="H115" s="12" t="inlineStr">
        <is>
          <t>Not started</t>
        </is>
      </c>
      <c r="I115" s="13" t="n"/>
      <c r="J115" s="13" t="n"/>
      <c r="K115" s="13" t="n"/>
      <c r="L115" s="13" t="n"/>
      <c r="M115" s="14">
        <f>IF(L115="","",L115+4)</f>
        <v/>
      </c>
      <c r="N115" s="13" t="n"/>
      <c r="O115" s="14">
        <f>IF(N115="","",N115+6)</f>
        <v/>
      </c>
      <c r="P115" s="13" t="n"/>
      <c r="Q115" s="13" t="n"/>
      <c r="R115" s="13" t="n"/>
      <c r="S115" s="13" t="n"/>
      <c r="T115" s="12" t="n"/>
      <c r="U115" s="12" t="n"/>
      <c r="V115" s="9" t="n"/>
      <c r="W115" s="13" t="n"/>
      <c r="X115" s="11">
        <f>IF(MAX(I115:L115,N115,P115:S115,AA115,AC115)=0,"",TODAY()-MAX(I115:L115,N115,P115:S115,AA115,AC115))</f>
        <v/>
      </c>
      <c r="Y115" s="9" t="n"/>
      <c r="Z115" s="11">
        <f>IFERROR(IF(INDEX(Leads!$X:$X,MATCH($A115,Leads!$A:$A,0))="","",INDEX(Leads!$X:$X,MATCH($A115,Leads!$A:$A,0))),"")</f>
        <v/>
      </c>
      <c r="AA115" s="13" t="n"/>
      <c r="AB115" s="14">
        <f>IF(AA115="","",AA115+5)</f>
        <v/>
      </c>
      <c r="AC115" s="13" t="n"/>
    </row>
    <row r="116">
      <c r="A116" s="11" t="inlineStr">
        <is>
          <t>G115</t>
        </is>
      </c>
      <c r="B116" s="11">
        <f>IFERROR(INDEX(Leads!$D:$D,MATCH($A116,Leads!$A:$A,0)),"")</f>
        <v/>
      </c>
      <c r="C116" s="11">
        <f>IFERROR(INDEX(Leads!$F:$F,MATCH($A116,Leads!$A:$A,0)),"")</f>
        <v/>
      </c>
      <c r="D116" s="11">
        <f>IFERROR(INDEX(Leads!$G:$G,MATCH($A116,Leads!$A:$A,0)),"")</f>
        <v/>
      </c>
      <c r="E116" s="11">
        <f>IFERROR(INDEX(Leads!$R:$R,MATCH($A116,Leads!$A:$A,0)),"")</f>
        <v/>
      </c>
      <c r="F116" s="11">
        <f>IFERROR(INDEX(Leads!$N:$N,MATCH($A116,Leads!$A:$A,0)),"")</f>
        <v/>
      </c>
      <c r="G116" s="11">
        <f>IFERROR(INDEX(Leads!$J:$J,MATCH($A116,Leads!$A:$A,0)),"")</f>
        <v/>
      </c>
      <c r="H116" s="12" t="inlineStr">
        <is>
          <t>Not started</t>
        </is>
      </c>
      <c r="I116" s="13" t="n"/>
      <c r="J116" s="13" t="n"/>
      <c r="K116" s="13" t="n"/>
      <c r="L116" s="13" t="n"/>
      <c r="M116" s="14">
        <f>IF(L116="","",L116+4)</f>
        <v/>
      </c>
      <c r="N116" s="13" t="n"/>
      <c r="O116" s="14">
        <f>IF(N116="","",N116+6)</f>
        <v/>
      </c>
      <c r="P116" s="13" t="n"/>
      <c r="Q116" s="13" t="n"/>
      <c r="R116" s="13" t="n"/>
      <c r="S116" s="13" t="n"/>
      <c r="T116" s="12" t="n"/>
      <c r="U116" s="12" t="n"/>
      <c r="V116" s="9" t="n"/>
      <c r="W116" s="13" t="n"/>
      <c r="X116" s="11">
        <f>IF(MAX(I116:L116,N116,P116:S116,AA116,AC116)=0,"",TODAY()-MAX(I116:L116,N116,P116:S116,AA116,AC116))</f>
        <v/>
      </c>
      <c r="Y116" s="9" t="n"/>
      <c r="Z116" s="11">
        <f>IFERROR(IF(INDEX(Leads!$X:$X,MATCH($A116,Leads!$A:$A,0))="","",INDEX(Leads!$X:$X,MATCH($A116,Leads!$A:$A,0))),"")</f>
        <v/>
      </c>
      <c r="AA116" s="13" t="n"/>
      <c r="AB116" s="14">
        <f>IF(AA116="","",AA116+5)</f>
        <v/>
      </c>
      <c r="AC116" s="13" t="n"/>
    </row>
    <row r="117">
      <c r="A117" s="11" t="inlineStr">
        <is>
          <t>G116</t>
        </is>
      </c>
      <c r="B117" s="11">
        <f>IFERROR(INDEX(Leads!$D:$D,MATCH($A117,Leads!$A:$A,0)),"")</f>
        <v/>
      </c>
      <c r="C117" s="11">
        <f>IFERROR(INDEX(Leads!$F:$F,MATCH($A117,Leads!$A:$A,0)),"")</f>
        <v/>
      </c>
      <c r="D117" s="11">
        <f>IFERROR(INDEX(Leads!$G:$G,MATCH($A117,Leads!$A:$A,0)),"")</f>
        <v/>
      </c>
      <c r="E117" s="11">
        <f>IFERROR(INDEX(Leads!$R:$R,MATCH($A117,Leads!$A:$A,0)),"")</f>
        <v/>
      </c>
      <c r="F117" s="11">
        <f>IFERROR(INDEX(Leads!$N:$N,MATCH($A117,Leads!$A:$A,0)),"")</f>
        <v/>
      </c>
      <c r="G117" s="11">
        <f>IFERROR(INDEX(Leads!$J:$J,MATCH($A117,Leads!$A:$A,0)),"")</f>
        <v/>
      </c>
      <c r="H117" s="12" t="inlineStr">
        <is>
          <t>Not started</t>
        </is>
      </c>
      <c r="I117" s="13" t="n"/>
      <c r="J117" s="13" t="n"/>
      <c r="K117" s="13" t="n"/>
      <c r="L117" s="13" t="n"/>
      <c r="M117" s="14">
        <f>IF(L117="","",L117+4)</f>
        <v/>
      </c>
      <c r="N117" s="13" t="n"/>
      <c r="O117" s="14">
        <f>IF(N117="","",N117+6)</f>
        <v/>
      </c>
      <c r="P117" s="13" t="n"/>
      <c r="Q117" s="13" t="n"/>
      <c r="R117" s="13" t="n"/>
      <c r="S117" s="13" t="n"/>
      <c r="T117" s="12" t="n"/>
      <c r="U117" s="12" t="n"/>
      <c r="V117" s="9" t="n"/>
      <c r="W117" s="13" t="n"/>
      <c r="X117" s="11">
        <f>IF(MAX(I117:L117,N117,P117:S117,AA117,AC117)=0,"",TODAY()-MAX(I117:L117,N117,P117:S117,AA117,AC117))</f>
        <v/>
      </c>
      <c r="Y117" s="9" t="n"/>
      <c r="Z117" s="11">
        <f>IFERROR(IF(INDEX(Leads!$X:$X,MATCH($A117,Leads!$A:$A,0))="","",INDEX(Leads!$X:$X,MATCH($A117,Leads!$A:$A,0))),"")</f>
        <v/>
      </c>
      <c r="AA117" s="13" t="n"/>
      <c r="AB117" s="14">
        <f>IF(AA117="","",AA117+5)</f>
        <v/>
      </c>
      <c r="AC117" s="13" t="n"/>
    </row>
    <row r="118">
      <c r="A118" s="11" t="inlineStr">
        <is>
          <t>G117</t>
        </is>
      </c>
      <c r="B118" s="11">
        <f>IFERROR(INDEX(Leads!$D:$D,MATCH($A118,Leads!$A:$A,0)),"")</f>
        <v/>
      </c>
      <c r="C118" s="11">
        <f>IFERROR(INDEX(Leads!$F:$F,MATCH($A118,Leads!$A:$A,0)),"")</f>
        <v/>
      </c>
      <c r="D118" s="11">
        <f>IFERROR(INDEX(Leads!$G:$G,MATCH($A118,Leads!$A:$A,0)),"")</f>
        <v/>
      </c>
      <c r="E118" s="11">
        <f>IFERROR(INDEX(Leads!$R:$R,MATCH($A118,Leads!$A:$A,0)),"")</f>
        <v/>
      </c>
      <c r="F118" s="11">
        <f>IFERROR(INDEX(Leads!$N:$N,MATCH($A118,Leads!$A:$A,0)),"")</f>
        <v/>
      </c>
      <c r="G118" s="11">
        <f>IFERROR(INDEX(Leads!$J:$J,MATCH($A118,Leads!$A:$A,0)),"")</f>
        <v/>
      </c>
      <c r="H118" s="12" t="inlineStr">
        <is>
          <t>Not started</t>
        </is>
      </c>
      <c r="I118" s="13" t="n"/>
      <c r="J118" s="13" t="n"/>
      <c r="K118" s="13" t="n"/>
      <c r="L118" s="13" t="n"/>
      <c r="M118" s="14">
        <f>IF(L118="","",L118+4)</f>
        <v/>
      </c>
      <c r="N118" s="13" t="n"/>
      <c r="O118" s="14">
        <f>IF(N118="","",N118+6)</f>
        <v/>
      </c>
      <c r="P118" s="13" t="n"/>
      <c r="Q118" s="13" t="n"/>
      <c r="R118" s="13" t="n"/>
      <c r="S118" s="13" t="n"/>
      <c r="T118" s="12" t="n"/>
      <c r="U118" s="12" t="n"/>
      <c r="V118" s="9" t="n"/>
      <c r="W118" s="13" t="n"/>
      <c r="X118" s="11">
        <f>IF(MAX(I118:L118,N118,P118:S118,AA118,AC118)=0,"",TODAY()-MAX(I118:L118,N118,P118:S118,AA118,AC118))</f>
        <v/>
      </c>
      <c r="Y118" s="9" t="n"/>
      <c r="Z118" s="11">
        <f>IFERROR(IF(INDEX(Leads!$X:$X,MATCH($A118,Leads!$A:$A,0))="","",INDEX(Leads!$X:$X,MATCH($A118,Leads!$A:$A,0))),"")</f>
        <v/>
      </c>
      <c r="AA118" s="13" t="n"/>
      <c r="AB118" s="14">
        <f>IF(AA118="","",AA118+5)</f>
        <v/>
      </c>
      <c r="AC118" s="13" t="n"/>
    </row>
    <row r="119">
      <c r="A119" s="11" t="inlineStr">
        <is>
          <t>G118</t>
        </is>
      </c>
      <c r="B119" s="11">
        <f>IFERROR(INDEX(Leads!$D:$D,MATCH($A119,Leads!$A:$A,0)),"")</f>
        <v/>
      </c>
      <c r="C119" s="11">
        <f>IFERROR(INDEX(Leads!$F:$F,MATCH($A119,Leads!$A:$A,0)),"")</f>
        <v/>
      </c>
      <c r="D119" s="11">
        <f>IFERROR(INDEX(Leads!$G:$G,MATCH($A119,Leads!$A:$A,0)),"")</f>
        <v/>
      </c>
      <c r="E119" s="11">
        <f>IFERROR(INDEX(Leads!$R:$R,MATCH($A119,Leads!$A:$A,0)),"")</f>
        <v/>
      </c>
      <c r="F119" s="11">
        <f>IFERROR(INDEX(Leads!$N:$N,MATCH($A119,Leads!$A:$A,0)),"")</f>
        <v/>
      </c>
      <c r="G119" s="11">
        <f>IFERROR(INDEX(Leads!$J:$J,MATCH($A119,Leads!$A:$A,0)),"")</f>
        <v/>
      </c>
      <c r="H119" s="12" t="inlineStr">
        <is>
          <t>Not started</t>
        </is>
      </c>
      <c r="I119" s="13" t="n"/>
      <c r="J119" s="13" t="n"/>
      <c r="K119" s="13" t="n"/>
      <c r="L119" s="13" t="n"/>
      <c r="M119" s="14">
        <f>IF(L119="","",L119+4)</f>
        <v/>
      </c>
      <c r="N119" s="13" t="n"/>
      <c r="O119" s="14">
        <f>IF(N119="","",N119+6)</f>
        <v/>
      </c>
      <c r="P119" s="13" t="n"/>
      <c r="Q119" s="13" t="n"/>
      <c r="R119" s="13" t="n"/>
      <c r="S119" s="13" t="n"/>
      <c r="T119" s="12" t="n"/>
      <c r="U119" s="12" t="n"/>
      <c r="V119" s="9" t="n"/>
      <c r="W119" s="13" t="n"/>
      <c r="X119" s="11">
        <f>IF(MAX(I119:L119,N119,P119:S119,AA119,AC119)=0,"",TODAY()-MAX(I119:L119,N119,P119:S119,AA119,AC119))</f>
        <v/>
      </c>
      <c r="Y119" s="9" t="n"/>
      <c r="Z119" s="11">
        <f>IFERROR(IF(INDEX(Leads!$X:$X,MATCH($A119,Leads!$A:$A,0))="","",INDEX(Leads!$X:$X,MATCH($A119,Leads!$A:$A,0))),"")</f>
        <v/>
      </c>
      <c r="AA119" s="13" t="n"/>
      <c r="AB119" s="14">
        <f>IF(AA119="","",AA119+5)</f>
        <v/>
      </c>
      <c r="AC119" s="13" t="n"/>
    </row>
    <row r="120">
      <c r="A120" s="11" t="inlineStr">
        <is>
          <t>G119</t>
        </is>
      </c>
      <c r="B120" s="11">
        <f>IFERROR(INDEX(Leads!$D:$D,MATCH($A120,Leads!$A:$A,0)),"")</f>
        <v/>
      </c>
      <c r="C120" s="11">
        <f>IFERROR(INDEX(Leads!$F:$F,MATCH($A120,Leads!$A:$A,0)),"")</f>
        <v/>
      </c>
      <c r="D120" s="11">
        <f>IFERROR(INDEX(Leads!$G:$G,MATCH($A120,Leads!$A:$A,0)),"")</f>
        <v/>
      </c>
      <c r="E120" s="11">
        <f>IFERROR(INDEX(Leads!$R:$R,MATCH($A120,Leads!$A:$A,0)),"")</f>
        <v/>
      </c>
      <c r="F120" s="11">
        <f>IFERROR(INDEX(Leads!$N:$N,MATCH($A120,Leads!$A:$A,0)),"")</f>
        <v/>
      </c>
      <c r="G120" s="11">
        <f>IFERROR(INDEX(Leads!$J:$J,MATCH($A120,Leads!$A:$A,0)),"")</f>
        <v/>
      </c>
      <c r="H120" s="12" t="inlineStr">
        <is>
          <t>Not started</t>
        </is>
      </c>
      <c r="I120" s="13" t="n"/>
      <c r="J120" s="13" t="n"/>
      <c r="K120" s="13" t="n"/>
      <c r="L120" s="13" t="n"/>
      <c r="M120" s="14">
        <f>IF(L120="","",L120+4)</f>
        <v/>
      </c>
      <c r="N120" s="13" t="n"/>
      <c r="O120" s="14">
        <f>IF(N120="","",N120+6)</f>
        <v/>
      </c>
      <c r="P120" s="13" t="n"/>
      <c r="Q120" s="13" t="n"/>
      <c r="R120" s="13" t="n"/>
      <c r="S120" s="13" t="n"/>
      <c r="T120" s="12" t="n"/>
      <c r="U120" s="12" t="n"/>
      <c r="V120" s="9" t="n"/>
      <c r="W120" s="13" t="n"/>
      <c r="X120" s="11">
        <f>IF(MAX(I120:L120,N120,P120:S120,AA120,AC120)=0,"",TODAY()-MAX(I120:L120,N120,P120:S120,AA120,AC120))</f>
        <v/>
      </c>
      <c r="Y120" s="9" t="n"/>
      <c r="Z120" s="11">
        <f>IFERROR(IF(INDEX(Leads!$X:$X,MATCH($A120,Leads!$A:$A,0))="","",INDEX(Leads!$X:$X,MATCH($A120,Leads!$A:$A,0))),"")</f>
        <v/>
      </c>
      <c r="AA120" s="13" t="n"/>
      <c r="AB120" s="14">
        <f>IF(AA120="","",AA120+5)</f>
        <v/>
      </c>
      <c r="AC120" s="13" t="n"/>
    </row>
    <row r="121">
      <c r="A121" s="11" t="inlineStr">
        <is>
          <t>G120</t>
        </is>
      </c>
      <c r="B121" s="11">
        <f>IFERROR(INDEX(Leads!$D:$D,MATCH($A121,Leads!$A:$A,0)),"")</f>
        <v/>
      </c>
      <c r="C121" s="11">
        <f>IFERROR(INDEX(Leads!$F:$F,MATCH($A121,Leads!$A:$A,0)),"")</f>
        <v/>
      </c>
      <c r="D121" s="11">
        <f>IFERROR(INDEX(Leads!$G:$G,MATCH($A121,Leads!$A:$A,0)),"")</f>
        <v/>
      </c>
      <c r="E121" s="11">
        <f>IFERROR(INDEX(Leads!$R:$R,MATCH($A121,Leads!$A:$A,0)),"")</f>
        <v/>
      </c>
      <c r="F121" s="11">
        <f>IFERROR(INDEX(Leads!$N:$N,MATCH($A121,Leads!$A:$A,0)),"")</f>
        <v/>
      </c>
      <c r="G121" s="11">
        <f>IFERROR(INDEX(Leads!$J:$J,MATCH($A121,Leads!$A:$A,0)),"")</f>
        <v/>
      </c>
      <c r="H121" s="12" t="inlineStr">
        <is>
          <t>Not started</t>
        </is>
      </c>
      <c r="I121" s="13" t="n"/>
      <c r="J121" s="13" t="n"/>
      <c r="K121" s="13" t="n"/>
      <c r="L121" s="13" t="n"/>
      <c r="M121" s="14">
        <f>IF(L121="","",L121+4)</f>
        <v/>
      </c>
      <c r="N121" s="13" t="n"/>
      <c r="O121" s="14">
        <f>IF(N121="","",N121+6)</f>
        <v/>
      </c>
      <c r="P121" s="13" t="n"/>
      <c r="Q121" s="13" t="n"/>
      <c r="R121" s="13" t="n"/>
      <c r="S121" s="13" t="n"/>
      <c r="T121" s="12" t="n"/>
      <c r="U121" s="12" t="n"/>
      <c r="V121" s="9" t="n"/>
      <c r="W121" s="13" t="n"/>
      <c r="X121" s="11">
        <f>IF(MAX(I121:L121,N121,P121:S121,AA121,AC121)=0,"",TODAY()-MAX(I121:L121,N121,P121:S121,AA121,AC121))</f>
        <v/>
      </c>
      <c r="Y121" s="9" t="n"/>
      <c r="Z121" s="11">
        <f>IFERROR(IF(INDEX(Leads!$X:$X,MATCH($A121,Leads!$A:$A,0))="","",INDEX(Leads!$X:$X,MATCH($A121,Leads!$A:$A,0))),"")</f>
        <v/>
      </c>
      <c r="AA121" s="13" t="n"/>
      <c r="AB121" s="14">
        <f>IF(AA121="","",AA121+5)</f>
        <v/>
      </c>
      <c r="AC121" s="13" t="n"/>
    </row>
  </sheetData>
  <autoFilter ref="A1:AC121"/>
  <conditionalFormatting sqref="M2:M321">
    <cfRule type="expression" priority="1" dxfId="0">
      <formula>AND(M2&lt;&gt;"",N2="",M2&lt;TODAY())</formula>
    </cfRule>
  </conditionalFormatting>
  <conditionalFormatting sqref="AB2:AB321">
    <cfRule type="expression" priority="2" dxfId="0">
      <formula>AND(AB2&lt;&gt;"",AC2="",AB2&lt;TODAY())</formula>
    </cfRule>
  </conditionalFormatting>
  <conditionalFormatting sqref="O2:O321">
    <cfRule type="expression" priority="3" dxfId="0">
      <formula>AND(O2&lt;&gt;"",P2="",O2&lt;TODAY())</formula>
    </cfRule>
  </conditionalFormatting>
  <conditionalFormatting sqref="H2:H321">
    <cfRule type="expression" priority="4" dxfId="1">
      <formula>OR(H2="Call booked",H2="Call held",H2="Won")</formula>
    </cfRule>
  </conditionalFormatting>
  <dataValidations count="4">
    <dataValidation sqref="H2:H321" showDropDown="0" showInputMessage="0" showErrorMessage="0" allowBlank="1" type="list">
      <formula1>=Lists!$A$2:$A$17</formula1>
    </dataValidation>
    <dataValidation sqref="U2:U321" showDropDown="0" showInputMessage="0" showErrorMessage="0" allowBlank="1" type="list">
      <formula1>=Lists!$B$2:$B$6</formula1>
    </dataValidation>
    <dataValidation sqref="T2:T321" showDropDown="0" showInputMessage="0" showErrorMessage="0" allowBlank="1" type="list">
      <formula1>=Lists!$C$2:$C$3</formula1>
    </dataValidation>
    <dataValidation sqref="I2:I321 J2:J321 K2:K321 L2:L321 N2:N321 P2:P321 Q2:Q321 R2:R321 S2:S321 W2:W321 AA2:AA321 AC2:AC321" showDropDown="0" showInputMessage="0" showErrorMessage="0" allowBlank="1" errorTitle="Date" error="Enter a date like 2026-09-29" type="date" operator="greaterThan">
      <formula1>45000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5" t="inlineStr">
        <is>
          <t>Pipeline dashboard</t>
        </is>
      </c>
    </row>
    <row r="2">
      <c r="A2" s="16" t="inlineStr">
        <is>
          <t>Updates from the Tracker tab. Rates divide by leads contacted (status past Not started / Warming up / Nurture).</t>
        </is>
      </c>
    </row>
    <row r="4">
      <c r="A4" s="17" t="inlineStr">
        <is>
          <t>Status</t>
        </is>
      </c>
      <c r="B4" s="17" t="inlineStr">
        <is>
          <t>Leads</t>
        </is>
      </c>
    </row>
    <row r="5">
      <c r="A5" s="18" t="inlineStr">
        <is>
          <t>Not started</t>
        </is>
      </c>
      <c r="B5" s="18">
        <f>COUNTIF(Tracker!$H$2:$H$321,A5)</f>
        <v/>
      </c>
    </row>
    <row r="6">
      <c r="A6" s="18" t="inlineStr">
        <is>
          <t>Warming up</t>
        </is>
      </c>
      <c r="B6" s="18">
        <f>COUNTIF(Tracker!$H$2:$H$321,A6)</f>
        <v/>
      </c>
    </row>
    <row r="7">
      <c r="A7" s="18" t="inlineStr">
        <is>
          <t>Connection sent</t>
        </is>
      </c>
      <c r="B7" s="18">
        <f>COUNTIF(Tracker!$H$2:$H$321,A7)</f>
        <v/>
      </c>
    </row>
    <row r="8">
      <c r="A8" s="18" t="inlineStr">
        <is>
          <t>Connected</t>
        </is>
      </c>
      <c r="B8" s="18">
        <f>COUNTIF(Tracker!$H$2:$H$321,A8)</f>
        <v/>
      </c>
    </row>
    <row r="9">
      <c r="A9" s="18" t="inlineStr">
        <is>
          <t>DM sent</t>
        </is>
      </c>
      <c r="B9" s="18">
        <f>COUNTIF(Tracker!$H$2:$H$321,A9)</f>
        <v/>
      </c>
    </row>
    <row r="10">
      <c r="A10" s="18" t="inlineStr">
        <is>
          <t>Follow-up 1 sent</t>
        </is>
      </c>
      <c r="B10" s="18">
        <f>COUNTIF(Tracker!$H$2:$H$321,A10)</f>
        <v/>
      </c>
    </row>
    <row r="11">
      <c r="A11" s="18" t="inlineStr">
        <is>
          <t>Follow-up 2 sent</t>
        </is>
      </c>
      <c r="B11" s="18">
        <f>COUNTIF(Tracker!$H$2:$H$321,A11)</f>
        <v/>
      </c>
    </row>
    <row r="12">
      <c r="A12" s="18" t="inlineStr">
        <is>
          <t>Replied</t>
        </is>
      </c>
      <c r="B12" s="18">
        <f>COUNTIF(Tracker!$H$2:$H$321,A12)</f>
        <v/>
      </c>
    </row>
    <row r="13">
      <c r="A13" s="18" t="inlineStr">
        <is>
          <t>Teardown sent</t>
        </is>
      </c>
      <c r="B13" s="18">
        <f>COUNTIF(Tracker!$H$2:$H$321,A13)</f>
        <v/>
      </c>
    </row>
    <row r="14">
      <c r="A14" s="18" t="inlineStr">
        <is>
          <t>Call booked</t>
        </is>
      </c>
      <c r="B14" s="18">
        <f>COUNTIF(Tracker!$H$2:$H$321,A14)</f>
        <v/>
      </c>
    </row>
    <row r="15">
      <c r="A15" s="18" t="inlineStr">
        <is>
          <t>Call held</t>
        </is>
      </c>
      <c r="B15" s="18">
        <f>COUNTIF(Tracker!$H$2:$H$321,A15)</f>
        <v/>
      </c>
    </row>
    <row r="16">
      <c r="A16" s="18" t="inlineStr">
        <is>
          <t>Proposal sent</t>
        </is>
      </c>
      <c r="B16" s="18">
        <f>COUNTIF(Tracker!$H$2:$H$321,A16)</f>
        <v/>
      </c>
    </row>
    <row r="17">
      <c r="A17" s="18" t="inlineStr">
        <is>
          <t>Won</t>
        </is>
      </c>
      <c r="B17" s="18">
        <f>COUNTIF(Tracker!$H$2:$H$321,A17)</f>
        <v/>
      </c>
    </row>
    <row r="18">
      <c r="A18" s="18" t="inlineStr">
        <is>
          <t>Lost</t>
        </is>
      </c>
      <c r="B18" s="18">
        <f>COUNTIF(Tracker!$H$2:$H$321,A18)</f>
        <v/>
      </c>
    </row>
    <row r="19">
      <c r="A19" s="18" t="inlineStr">
        <is>
          <t>No response</t>
        </is>
      </c>
      <c r="B19" s="18">
        <f>COUNTIF(Tracker!$H$2:$H$321,A19)</f>
        <v/>
      </c>
    </row>
    <row r="20">
      <c r="A20" s="18" t="inlineStr">
        <is>
          <t>Nurture</t>
        </is>
      </c>
      <c r="B20" s="18">
        <f>COUNTIF(Tracker!$H$2:$H$321,A20)</f>
        <v/>
      </c>
    </row>
    <row r="21">
      <c r="A21" s="19" t="inlineStr">
        <is>
          <t>Total</t>
        </is>
      </c>
      <c r="B21" s="19">
        <f>SUM(B5:B20)</f>
        <v/>
      </c>
    </row>
    <row r="23">
      <c r="A23" s="20" t="inlineStr">
        <is>
          <t>Funnel</t>
        </is>
      </c>
    </row>
    <row r="24">
      <c r="A24" s="17" t="inlineStr">
        <is>
          <t>Stage</t>
        </is>
      </c>
      <c r="B24" s="17" t="inlineStr">
        <is>
          <t>Leads</t>
        </is>
      </c>
      <c r="C24" s="17" t="inlineStr">
        <is>
          <t>Rate vs contacted</t>
        </is>
      </c>
    </row>
    <row r="25">
      <c r="A25" s="18" t="inlineStr">
        <is>
          <t>Contacted</t>
        </is>
      </c>
      <c r="B25" s="18">
        <f>COUNTIF(Tracker!$H$2:$H$321,"Connection sent")+COUNTIF(Tracker!$H$2:$H$321,"Connected")+COUNTIF(Tracker!$H$2:$H$321,"DM sent")+COUNTIF(Tracker!$H$2:$H$321,"Follow-up 1 sent")+COUNTIF(Tracker!$H$2:$H$321,"Follow-up 2 sent")+COUNTIF(Tracker!$H$2:$H$321,"Replied")+COUNTIF(Tracker!$H$2:$H$321,"Teardown sent")+COUNTIF(Tracker!$H$2:$H$321,"Call booked")+COUNTIF(Tracker!$H$2:$H$321,"Call held")+COUNTIF(Tracker!$H$2:$H$321,"Proposal sent")+COUNTIF(Tracker!$H$2:$H$321,"Won")+COUNTIF(Tracker!$H$2:$H$321,"Lost")+COUNTIF(Tracker!$H$2:$H$321,"No response")</f>
        <v/>
      </c>
      <c r="C25" s="21">
        <f>IFERROR(B25/$B$25,0)</f>
        <v/>
      </c>
    </row>
    <row r="26">
      <c r="A26" s="18" t="inlineStr">
        <is>
          <t>Connected</t>
        </is>
      </c>
      <c r="B26" s="18">
        <f>COUNTIF(Tracker!$H$2:$H$321,"Connected")+COUNTIF(Tracker!$H$2:$H$321,"DM sent")+COUNTIF(Tracker!$H$2:$H$321,"Follow-up 1 sent")+COUNTIF(Tracker!$H$2:$H$321,"Follow-up 2 sent")+COUNTIF(Tracker!$H$2:$H$321,"Replied")+COUNTIF(Tracker!$H$2:$H$321,"Teardown sent")+COUNTIF(Tracker!$H$2:$H$321,"Call booked")+COUNTIF(Tracker!$H$2:$H$321,"Call held")+COUNTIF(Tracker!$H$2:$H$321,"Proposal sent")+COUNTIF(Tracker!$H$2:$H$321,"Won")+COUNTIF(Tracker!$H$2:$H$321,"Lost")</f>
        <v/>
      </c>
      <c r="C26" s="21">
        <f>IFERROR(B26/$B$25,0)</f>
        <v/>
      </c>
    </row>
    <row r="27">
      <c r="A27" s="18" t="inlineStr">
        <is>
          <t>Replied</t>
        </is>
      </c>
      <c r="B27" s="18">
        <f>COUNTIF(Tracker!$H$2:$H$321,"Replied")+COUNTIF(Tracker!$H$2:$H$321,"Teardown sent")+COUNTIF(Tracker!$H$2:$H$321,"Call booked")+COUNTIF(Tracker!$H$2:$H$321,"Call held")+COUNTIF(Tracker!$H$2:$H$321,"Proposal sent")+COUNTIF(Tracker!$H$2:$H$321,"Won")+COUNTIF(Tracker!$H$2:$H$321,"Lost")</f>
        <v/>
      </c>
      <c r="C27" s="21">
        <f>IFERROR(B27/$B$25,0)</f>
        <v/>
      </c>
    </row>
    <row r="28">
      <c r="A28" s="18" t="inlineStr">
        <is>
          <t>Call booked</t>
        </is>
      </c>
      <c r="B28" s="18">
        <f>COUNTIF(Tracker!$H$2:$H$321,"Call booked")+COUNTIF(Tracker!$H$2:$H$321,"Call held")+COUNTIF(Tracker!$H$2:$H$321,"Proposal sent")+COUNTIF(Tracker!$H$2:$H$321,"Won")+COUNTIF(Tracker!$H$2:$H$321,"Lost")</f>
        <v/>
      </c>
      <c r="C28" s="21">
        <f>IFERROR(B28/$B$25,0)</f>
        <v/>
      </c>
    </row>
    <row r="29">
      <c r="A29" s="18" t="inlineStr">
        <is>
          <t>Won</t>
        </is>
      </c>
      <c r="B29" s="18">
        <f>COUNTIF(Tracker!$H$2:$H$321,"Won")</f>
        <v/>
      </c>
      <c r="C29" s="21">
        <f>IFERROR(B29/$B$25,0)</f>
        <v/>
      </c>
    </row>
    <row r="32">
      <c r="A32" s="20" t="inlineStr">
        <is>
          <t>Leads by region</t>
        </is>
      </c>
    </row>
    <row r="33">
      <c r="A33" s="17" t="inlineStr">
        <is>
          <t>Region</t>
        </is>
      </c>
      <c r="B33" s="17" t="inlineStr">
        <is>
          <t>Leads</t>
        </is>
      </c>
      <c r="C33" s="17" t="inlineStr">
        <is>
          <t>Contacted</t>
        </is>
      </c>
      <c r="D33" s="17" t="inlineStr">
        <is>
          <t>Replied</t>
        </is>
      </c>
      <c r="E33" s="17" t="inlineStr">
        <is>
          <t>Calls</t>
        </is>
      </c>
      <c r="F33" s="17" t="inlineStr">
        <is>
          <t>Reply rate</t>
        </is>
      </c>
      <c r="G33" s="17" t="inlineStr">
        <is>
          <t>Call rate</t>
        </is>
      </c>
    </row>
    <row r="34">
      <c r="A34" s="18" t="inlineStr">
        <is>
          <t>India</t>
        </is>
      </c>
      <c r="B34" s="18">
        <f>COUNTIF(Tracker!$D$2:$D$321,$A34)</f>
        <v/>
      </c>
      <c r="C34" s="18">
        <f>COUNTIFS(Tracker!$D$2:$D$321,$A34,Tracker!$H$2:$H$321,"Connection sent")+COUNTIFS(Tracker!$D$2:$D$321,$A34,Tracker!$H$2:$H$321,"Connected")+COUNTIFS(Tracker!$D$2:$D$321,$A34,Tracker!$H$2:$H$321,"DM sent")+COUNTIFS(Tracker!$D$2:$D$321,$A34,Tracker!$H$2:$H$321,"Follow-up 1 sent")+COUNTIFS(Tracker!$D$2:$D$321,$A34,Tracker!$H$2:$H$321,"Follow-up 2 sent")+COUNTIFS(Tracker!$D$2:$D$321,$A34,Tracker!$H$2:$H$321,"Replied")+COUNTIFS(Tracker!$D$2:$D$321,$A34,Tracker!$H$2:$H$321,"Teardown sent")+COUNTIFS(Tracker!$D$2:$D$321,$A34,Tracker!$H$2:$H$321,"Call booked")+COUNTIFS(Tracker!$D$2:$D$321,$A34,Tracker!$H$2:$H$321,"Call held")+COUNTIFS(Tracker!$D$2:$D$321,$A34,Tracker!$H$2:$H$321,"Proposal sent")+COUNTIFS(Tracker!$D$2:$D$321,$A34,Tracker!$H$2:$H$321,"Won")+COUNTIFS(Tracker!$D$2:$D$321,$A34,Tracker!$H$2:$H$321,"Lost")+COUNTIFS(Tracker!$D$2:$D$321,$A34,Tracker!$H$2:$H$321,"No response")</f>
        <v/>
      </c>
      <c r="D34" s="18">
        <f>COUNTIFS(Tracker!$D$2:$D$321,$A34,Tracker!$H$2:$H$321,"Replied")+COUNTIFS(Tracker!$D$2:$D$321,$A34,Tracker!$H$2:$H$321,"Teardown sent")+COUNTIFS(Tracker!$D$2:$D$321,$A34,Tracker!$H$2:$H$321,"Call booked")+COUNTIFS(Tracker!$D$2:$D$321,$A34,Tracker!$H$2:$H$321,"Call held")+COUNTIFS(Tracker!$D$2:$D$321,$A34,Tracker!$H$2:$H$321,"Proposal sent")+COUNTIFS(Tracker!$D$2:$D$321,$A34,Tracker!$H$2:$H$321,"Won")+COUNTIFS(Tracker!$D$2:$D$321,$A34,Tracker!$H$2:$H$321,"Lost")</f>
        <v/>
      </c>
      <c r="E34" s="18">
        <f>COUNTIFS(Tracker!$D$2:$D$321,$A34,Tracker!$H$2:$H$321,"Call booked")+COUNTIFS(Tracker!$D$2:$D$321,$A34,Tracker!$H$2:$H$321,"Call held")+COUNTIFS(Tracker!$D$2:$D$321,$A34,Tracker!$H$2:$H$321,"Proposal sent")+COUNTIFS(Tracker!$D$2:$D$321,$A34,Tracker!$H$2:$H$321,"Won")+COUNTIFS(Tracker!$D$2:$D$321,$A34,Tracker!$H$2:$H$321,"Lost")</f>
        <v/>
      </c>
      <c r="F34" s="21">
        <f>IFERROR(D34/C34,0)</f>
        <v/>
      </c>
      <c r="G34" s="21">
        <f>IFERROR(E34/C34,0)</f>
        <v/>
      </c>
    </row>
    <row r="35">
      <c r="A35" s="18" t="inlineStr">
        <is>
          <t>UK</t>
        </is>
      </c>
      <c r="B35" s="18">
        <f>COUNTIF(Tracker!$D$2:$D$321,$A35)</f>
        <v/>
      </c>
      <c r="C35" s="18">
        <f>COUNTIFS(Tracker!$D$2:$D$321,$A35,Tracker!$H$2:$H$321,"Connection sent")+COUNTIFS(Tracker!$D$2:$D$321,$A35,Tracker!$H$2:$H$321,"Connected")+COUNTIFS(Tracker!$D$2:$D$321,$A35,Tracker!$H$2:$H$321,"DM sent")+COUNTIFS(Tracker!$D$2:$D$321,$A35,Tracker!$H$2:$H$321,"Follow-up 1 sent")+COUNTIFS(Tracker!$D$2:$D$321,$A35,Tracker!$H$2:$H$321,"Follow-up 2 sent")+COUNTIFS(Tracker!$D$2:$D$321,$A35,Tracker!$H$2:$H$321,"Replied")+COUNTIFS(Tracker!$D$2:$D$321,$A35,Tracker!$H$2:$H$321,"Teardown sent")+COUNTIFS(Tracker!$D$2:$D$321,$A35,Tracker!$H$2:$H$321,"Call booked")+COUNTIFS(Tracker!$D$2:$D$321,$A35,Tracker!$H$2:$H$321,"Call held")+COUNTIFS(Tracker!$D$2:$D$321,$A35,Tracker!$H$2:$H$321,"Proposal sent")+COUNTIFS(Tracker!$D$2:$D$321,$A35,Tracker!$H$2:$H$321,"Won")+COUNTIFS(Tracker!$D$2:$D$321,$A35,Tracker!$H$2:$H$321,"Lost")+COUNTIFS(Tracker!$D$2:$D$321,$A35,Tracker!$H$2:$H$321,"No response")</f>
        <v/>
      </c>
      <c r="D35" s="18">
        <f>COUNTIFS(Tracker!$D$2:$D$321,$A35,Tracker!$H$2:$H$321,"Replied")+COUNTIFS(Tracker!$D$2:$D$321,$A35,Tracker!$H$2:$H$321,"Teardown sent")+COUNTIFS(Tracker!$D$2:$D$321,$A35,Tracker!$H$2:$H$321,"Call booked")+COUNTIFS(Tracker!$D$2:$D$321,$A35,Tracker!$H$2:$H$321,"Call held")+COUNTIFS(Tracker!$D$2:$D$321,$A35,Tracker!$H$2:$H$321,"Proposal sent")+COUNTIFS(Tracker!$D$2:$D$321,$A35,Tracker!$H$2:$H$321,"Won")+COUNTIFS(Tracker!$D$2:$D$321,$A35,Tracker!$H$2:$H$321,"Lost")</f>
        <v/>
      </c>
      <c r="E35" s="18">
        <f>COUNTIFS(Tracker!$D$2:$D$321,$A35,Tracker!$H$2:$H$321,"Call booked")+COUNTIFS(Tracker!$D$2:$D$321,$A35,Tracker!$H$2:$H$321,"Call held")+COUNTIFS(Tracker!$D$2:$D$321,$A35,Tracker!$H$2:$H$321,"Proposal sent")+COUNTIFS(Tracker!$D$2:$D$321,$A35,Tracker!$H$2:$H$321,"Won")+COUNTIFS(Tracker!$D$2:$D$321,$A35,Tracker!$H$2:$H$321,"Lost")</f>
        <v/>
      </c>
      <c r="F35" s="21">
        <f>IFERROR(D35/C35,0)</f>
        <v/>
      </c>
      <c r="G35" s="21">
        <f>IFERROR(E35/C35,0)</f>
        <v/>
      </c>
    </row>
    <row r="36">
      <c r="A36" s="18" t="inlineStr">
        <is>
          <t>Canada</t>
        </is>
      </c>
      <c r="B36" s="18">
        <f>COUNTIF(Tracker!$D$2:$D$321,$A36)</f>
        <v/>
      </c>
      <c r="C36" s="18">
        <f>COUNTIFS(Tracker!$D$2:$D$321,$A36,Tracker!$H$2:$H$321,"Connection sent")+COUNTIFS(Tracker!$D$2:$D$321,$A36,Tracker!$H$2:$H$321,"Connected")+COUNTIFS(Tracker!$D$2:$D$321,$A36,Tracker!$H$2:$H$321,"DM sent")+COUNTIFS(Tracker!$D$2:$D$321,$A36,Tracker!$H$2:$H$321,"Follow-up 1 sent")+COUNTIFS(Tracker!$D$2:$D$321,$A36,Tracker!$H$2:$H$321,"Follow-up 2 sent")+COUNTIFS(Tracker!$D$2:$D$321,$A36,Tracker!$H$2:$H$321,"Replied")+COUNTIFS(Tracker!$D$2:$D$321,$A36,Tracker!$H$2:$H$321,"Teardown sent")+COUNTIFS(Tracker!$D$2:$D$321,$A36,Tracker!$H$2:$H$321,"Call booked")+COUNTIFS(Tracker!$D$2:$D$321,$A36,Tracker!$H$2:$H$321,"Call held")+COUNTIFS(Tracker!$D$2:$D$321,$A36,Tracker!$H$2:$H$321,"Proposal sent")+COUNTIFS(Tracker!$D$2:$D$321,$A36,Tracker!$H$2:$H$321,"Won")+COUNTIFS(Tracker!$D$2:$D$321,$A36,Tracker!$H$2:$H$321,"Lost")+COUNTIFS(Tracker!$D$2:$D$321,$A36,Tracker!$H$2:$H$321,"No response")</f>
        <v/>
      </c>
      <c r="D36" s="18">
        <f>COUNTIFS(Tracker!$D$2:$D$321,$A36,Tracker!$H$2:$H$321,"Replied")+COUNTIFS(Tracker!$D$2:$D$321,$A36,Tracker!$H$2:$H$321,"Teardown sent")+COUNTIFS(Tracker!$D$2:$D$321,$A36,Tracker!$H$2:$H$321,"Call booked")+COUNTIFS(Tracker!$D$2:$D$321,$A36,Tracker!$H$2:$H$321,"Call held")+COUNTIFS(Tracker!$D$2:$D$321,$A36,Tracker!$H$2:$H$321,"Proposal sent")+COUNTIFS(Tracker!$D$2:$D$321,$A36,Tracker!$H$2:$H$321,"Won")+COUNTIFS(Tracker!$D$2:$D$321,$A36,Tracker!$H$2:$H$321,"Lost")</f>
        <v/>
      </c>
      <c r="E36" s="18">
        <f>COUNTIFS(Tracker!$D$2:$D$321,$A36,Tracker!$H$2:$H$321,"Call booked")+COUNTIFS(Tracker!$D$2:$D$321,$A36,Tracker!$H$2:$H$321,"Call held")+COUNTIFS(Tracker!$D$2:$D$321,$A36,Tracker!$H$2:$H$321,"Proposal sent")+COUNTIFS(Tracker!$D$2:$D$321,$A36,Tracker!$H$2:$H$321,"Won")+COUNTIFS(Tracker!$D$2:$D$321,$A36,Tracker!$H$2:$H$321,"Lost")</f>
        <v/>
      </c>
      <c r="F36" s="21">
        <f>IFERROR(D36/C36,0)</f>
        <v/>
      </c>
      <c r="G36" s="21">
        <f>IFERROR(E36/C36,0)</f>
        <v/>
      </c>
    </row>
    <row r="37">
      <c r="A37" s="18" t="inlineStr">
        <is>
          <t>US</t>
        </is>
      </c>
      <c r="B37" s="18">
        <f>COUNTIF(Tracker!$D$2:$D$321,$A37)</f>
        <v/>
      </c>
      <c r="C37" s="18">
        <f>COUNTIFS(Tracker!$D$2:$D$321,$A37,Tracker!$H$2:$H$321,"Connection sent")+COUNTIFS(Tracker!$D$2:$D$321,$A37,Tracker!$H$2:$H$321,"Connected")+COUNTIFS(Tracker!$D$2:$D$321,$A37,Tracker!$H$2:$H$321,"DM sent")+COUNTIFS(Tracker!$D$2:$D$321,$A37,Tracker!$H$2:$H$321,"Follow-up 1 sent")+COUNTIFS(Tracker!$D$2:$D$321,$A37,Tracker!$H$2:$H$321,"Follow-up 2 sent")+COUNTIFS(Tracker!$D$2:$D$321,$A37,Tracker!$H$2:$H$321,"Replied")+COUNTIFS(Tracker!$D$2:$D$321,$A37,Tracker!$H$2:$H$321,"Teardown sent")+COUNTIFS(Tracker!$D$2:$D$321,$A37,Tracker!$H$2:$H$321,"Call booked")+COUNTIFS(Tracker!$D$2:$D$321,$A37,Tracker!$H$2:$H$321,"Call held")+COUNTIFS(Tracker!$D$2:$D$321,$A37,Tracker!$H$2:$H$321,"Proposal sent")+COUNTIFS(Tracker!$D$2:$D$321,$A37,Tracker!$H$2:$H$321,"Won")+COUNTIFS(Tracker!$D$2:$D$321,$A37,Tracker!$H$2:$H$321,"Lost")+COUNTIFS(Tracker!$D$2:$D$321,$A37,Tracker!$H$2:$H$321,"No response")</f>
        <v/>
      </c>
      <c r="D37" s="18">
        <f>COUNTIFS(Tracker!$D$2:$D$321,$A37,Tracker!$H$2:$H$321,"Replied")+COUNTIFS(Tracker!$D$2:$D$321,$A37,Tracker!$H$2:$H$321,"Teardown sent")+COUNTIFS(Tracker!$D$2:$D$321,$A37,Tracker!$H$2:$H$321,"Call booked")+COUNTIFS(Tracker!$D$2:$D$321,$A37,Tracker!$H$2:$H$321,"Call held")+COUNTIFS(Tracker!$D$2:$D$321,$A37,Tracker!$H$2:$H$321,"Proposal sent")+COUNTIFS(Tracker!$D$2:$D$321,$A37,Tracker!$H$2:$H$321,"Won")+COUNTIFS(Tracker!$D$2:$D$321,$A37,Tracker!$H$2:$H$321,"Lost")</f>
        <v/>
      </c>
      <c r="E37" s="18">
        <f>COUNTIFS(Tracker!$D$2:$D$321,$A37,Tracker!$H$2:$H$321,"Call booked")+COUNTIFS(Tracker!$D$2:$D$321,$A37,Tracker!$H$2:$H$321,"Call held")+COUNTIFS(Tracker!$D$2:$D$321,$A37,Tracker!$H$2:$H$321,"Proposal sent")+COUNTIFS(Tracker!$D$2:$D$321,$A37,Tracker!$H$2:$H$321,"Won")+COUNTIFS(Tracker!$D$2:$D$321,$A37,Tracker!$H$2:$H$321,"Lost")</f>
        <v/>
      </c>
      <c r="F37" s="21">
        <f>IFERROR(D37/C37,0)</f>
        <v/>
      </c>
      <c r="G37" s="21">
        <f>IFERROR(E37/C37,0)</f>
        <v/>
      </c>
    </row>
    <row r="38">
      <c r="A38" s="18" t="inlineStr">
        <is>
          <t>MENA</t>
        </is>
      </c>
      <c r="B38" s="18">
        <f>COUNTIF(Tracker!$D$2:$D$321,$A38)</f>
        <v/>
      </c>
      <c r="C38" s="18">
        <f>COUNTIFS(Tracker!$D$2:$D$321,$A38,Tracker!$H$2:$H$321,"Connection sent")+COUNTIFS(Tracker!$D$2:$D$321,$A38,Tracker!$H$2:$H$321,"Connected")+COUNTIFS(Tracker!$D$2:$D$321,$A38,Tracker!$H$2:$H$321,"DM sent")+COUNTIFS(Tracker!$D$2:$D$321,$A38,Tracker!$H$2:$H$321,"Follow-up 1 sent")+COUNTIFS(Tracker!$D$2:$D$321,$A38,Tracker!$H$2:$H$321,"Follow-up 2 sent")+COUNTIFS(Tracker!$D$2:$D$321,$A38,Tracker!$H$2:$H$321,"Replied")+COUNTIFS(Tracker!$D$2:$D$321,$A38,Tracker!$H$2:$H$321,"Teardown sent")+COUNTIFS(Tracker!$D$2:$D$321,$A38,Tracker!$H$2:$H$321,"Call booked")+COUNTIFS(Tracker!$D$2:$D$321,$A38,Tracker!$H$2:$H$321,"Call held")+COUNTIFS(Tracker!$D$2:$D$321,$A38,Tracker!$H$2:$H$321,"Proposal sent")+COUNTIFS(Tracker!$D$2:$D$321,$A38,Tracker!$H$2:$H$321,"Won")+COUNTIFS(Tracker!$D$2:$D$321,$A38,Tracker!$H$2:$H$321,"Lost")+COUNTIFS(Tracker!$D$2:$D$321,$A38,Tracker!$H$2:$H$321,"No response")</f>
        <v/>
      </c>
      <c r="D38" s="18">
        <f>COUNTIFS(Tracker!$D$2:$D$321,$A38,Tracker!$H$2:$H$321,"Replied")+COUNTIFS(Tracker!$D$2:$D$321,$A38,Tracker!$H$2:$H$321,"Teardown sent")+COUNTIFS(Tracker!$D$2:$D$321,$A38,Tracker!$H$2:$H$321,"Call booked")+COUNTIFS(Tracker!$D$2:$D$321,$A38,Tracker!$H$2:$H$321,"Call held")+COUNTIFS(Tracker!$D$2:$D$321,$A38,Tracker!$H$2:$H$321,"Proposal sent")+COUNTIFS(Tracker!$D$2:$D$321,$A38,Tracker!$H$2:$H$321,"Won")+COUNTIFS(Tracker!$D$2:$D$321,$A38,Tracker!$H$2:$H$321,"Lost")</f>
        <v/>
      </c>
      <c r="E38" s="18">
        <f>COUNTIFS(Tracker!$D$2:$D$321,$A38,Tracker!$H$2:$H$321,"Call booked")+COUNTIFS(Tracker!$D$2:$D$321,$A38,Tracker!$H$2:$H$321,"Call held")+COUNTIFS(Tracker!$D$2:$D$321,$A38,Tracker!$H$2:$H$321,"Proposal sent")+COUNTIFS(Tracker!$D$2:$D$321,$A38,Tracker!$H$2:$H$321,"Won")+COUNTIFS(Tracker!$D$2:$D$321,$A38,Tracker!$H$2:$H$321,"Lost")</f>
        <v/>
      </c>
      <c r="F38" s="21">
        <f>IFERROR(D38/C38,0)</f>
        <v/>
      </c>
      <c r="G38" s="21">
        <f>IFERROR(E38/C38,0)</f>
        <v/>
      </c>
    </row>
    <row r="40">
      <c r="A40" s="20" t="inlineStr">
        <is>
          <t>Leads by activity pattern</t>
        </is>
      </c>
    </row>
    <row r="41">
      <c r="A41" s="17" t="inlineStr">
        <is>
          <t>Activity pattern</t>
        </is>
      </c>
      <c r="B41" s="17" t="inlineStr">
        <is>
          <t>Leads</t>
        </is>
      </c>
      <c r="C41" s="17" t="inlineStr">
        <is>
          <t>Contacted</t>
        </is>
      </c>
      <c r="D41" s="17" t="inlineStr">
        <is>
          <t>Replied</t>
        </is>
      </c>
      <c r="E41" s="17" t="inlineStr">
        <is>
          <t>Calls</t>
        </is>
      </c>
      <c r="F41" s="17" t="inlineStr">
        <is>
          <t>Reply rate</t>
        </is>
      </c>
      <c r="G41" s="17" t="inlineStr">
        <is>
          <t>Call rate</t>
        </is>
      </c>
    </row>
    <row r="42">
      <c r="A42" s="18" t="inlineStr">
        <is>
          <t>Already consistent</t>
        </is>
      </c>
      <c r="B42" s="18">
        <f>COUNTIF(Tracker!$F$2:$F$321,$A42)</f>
        <v/>
      </c>
      <c r="C42" s="18">
        <f>COUNTIFS(Tracker!$F$2:$F$321,$A42,Tracker!$H$2:$H$321,"Connection sent")+COUNTIFS(Tracker!$F$2:$F$321,$A42,Tracker!$H$2:$H$321,"Connected")+COUNTIFS(Tracker!$F$2:$F$321,$A42,Tracker!$H$2:$H$321,"DM sent")+COUNTIFS(Tracker!$F$2:$F$321,$A42,Tracker!$H$2:$H$321,"Follow-up 1 sent")+COUNTIFS(Tracker!$F$2:$F$321,$A42,Tracker!$H$2:$H$321,"Follow-up 2 sent")+COUNTIFS(Tracker!$F$2:$F$321,$A42,Tracker!$H$2:$H$321,"Replied")+COUNTIFS(Tracker!$F$2:$F$321,$A42,Tracker!$H$2:$H$321,"Teardown sent")+COUNTIFS(Tracker!$F$2:$F$321,$A42,Tracker!$H$2:$H$321,"Call booked")+COUNTIFS(Tracker!$F$2:$F$321,$A42,Tracker!$H$2:$H$321,"Call held")+COUNTIFS(Tracker!$F$2:$F$321,$A42,Tracker!$H$2:$H$321,"Proposal sent")+COUNTIFS(Tracker!$F$2:$F$321,$A42,Tracker!$H$2:$H$321,"Won")+COUNTIFS(Tracker!$F$2:$F$321,$A42,Tracker!$H$2:$H$321,"Lost")+COUNTIFS(Tracker!$F$2:$F$321,$A42,Tracker!$H$2:$H$321,"No response")</f>
        <v/>
      </c>
      <c r="D42" s="18">
        <f>COUNTIFS(Tracker!$F$2:$F$321,$A42,Tracker!$H$2:$H$321,"Replied")+COUNTIFS(Tracker!$F$2:$F$321,$A42,Tracker!$H$2:$H$321,"Teardown sent")+COUNTIFS(Tracker!$F$2:$F$321,$A42,Tracker!$H$2:$H$321,"Call booked")+COUNTIFS(Tracker!$F$2:$F$321,$A42,Tracker!$H$2:$H$321,"Call held")+COUNTIFS(Tracker!$F$2:$F$321,$A42,Tracker!$H$2:$H$321,"Proposal sent")+COUNTIFS(Tracker!$F$2:$F$321,$A42,Tracker!$H$2:$H$321,"Won")+COUNTIFS(Tracker!$F$2:$F$321,$A42,Tracker!$H$2:$H$321,"Lost")</f>
        <v/>
      </c>
      <c r="E42" s="18">
        <f>COUNTIFS(Tracker!$F$2:$F$321,$A42,Tracker!$H$2:$H$321,"Call booked")+COUNTIFS(Tracker!$F$2:$F$321,$A42,Tracker!$H$2:$H$321,"Call held")+COUNTIFS(Tracker!$F$2:$F$321,$A42,Tracker!$H$2:$H$321,"Proposal sent")+COUNTIFS(Tracker!$F$2:$F$321,$A42,Tracker!$H$2:$H$321,"Won")+COUNTIFS(Tracker!$F$2:$F$321,$A42,Tracker!$H$2:$H$321,"Lost")</f>
        <v/>
      </c>
      <c r="F42" s="21">
        <f>IFERROR(D42/C42,0)</f>
        <v/>
      </c>
      <c r="G42" s="21">
        <f>IFERROR(E42/C42,0)</f>
        <v/>
      </c>
    </row>
    <row r="43">
      <c r="A43" s="18" t="inlineStr">
        <is>
          <t>Company-news voice</t>
        </is>
      </c>
      <c r="B43" s="18">
        <f>COUNTIF(Tracker!$F$2:$F$321,$A43)</f>
        <v/>
      </c>
      <c r="C43" s="18">
        <f>COUNTIFS(Tracker!$F$2:$F$321,$A43,Tracker!$H$2:$H$321,"Connection sent")+COUNTIFS(Tracker!$F$2:$F$321,$A43,Tracker!$H$2:$H$321,"Connected")+COUNTIFS(Tracker!$F$2:$F$321,$A43,Tracker!$H$2:$H$321,"DM sent")+COUNTIFS(Tracker!$F$2:$F$321,$A43,Tracker!$H$2:$H$321,"Follow-up 1 sent")+COUNTIFS(Tracker!$F$2:$F$321,$A43,Tracker!$H$2:$H$321,"Follow-up 2 sent")+COUNTIFS(Tracker!$F$2:$F$321,$A43,Tracker!$H$2:$H$321,"Replied")+COUNTIFS(Tracker!$F$2:$F$321,$A43,Tracker!$H$2:$H$321,"Teardown sent")+COUNTIFS(Tracker!$F$2:$F$321,$A43,Tracker!$H$2:$H$321,"Call booked")+COUNTIFS(Tracker!$F$2:$F$321,$A43,Tracker!$H$2:$H$321,"Call held")+COUNTIFS(Tracker!$F$2:$F$321,$A43,Tracker!$H$2:$H$321,"Proposal sent")+COUNTIFS(Tracker!$F$2:$F$321,$A43,Tracker!$H$2:$H$321,"Won")+COUNTIFS(Tracker!$F$2:$F$321,$A43,Tracker!$H$2:$H$321,"Lost")+COUNTIFS(Tracker!$F$2:$F$321,$A43,Tracker!$H$2:$H$321,"No response")</f>
        <v/>
      </c>
      <c r="D43" s="18">
        <f>COUNTIFS(Tracker!$F$2:$F$321,$A43,Tracker!$H$2:$H$321,"Replied")+COUNTIFS(Tracker!$F$2:$F$321,$A43,Tracker!$H$2:$H$321,"Teardown sent")+COUNTIFS(Tracker!$F$2:$F$321,$A43,Tracker!$H$2:$H$321,"Call booked")+COUNTIFS(Tracker!$F$2:$F$321,$A43,Tracker!$H$2:$H$321,"Call held")+COUNTIFS(Tracker!$F$2:$F$321,$A43,Tracker!$H$2:$H$321,"Proposal sent")+COUNTIFS(Tracker!$F$2:$F$321,$A43,Tracker!$H$2:$H$321,"Won")+COUNTIFS(Tracker!$F$2:$F$321,$A43,Tracker!$H$2:$H$321,"Lost")</f>
        <v/>
      </c>
      <c r="E43" s="18">
        <f>COUNTIFS(Tracker!$F$2:$F$321,$A43,Tracker!$H$2:$H$321,"Call booked")+COUNTIFS(Tracker!$F$2:$F$321,$A43,Tracker!$H$2:$H$321,"Call held")+COUNTIFS(Tracker!$F$2:$F$321,$A43,Tracker!$H$2:$H$321,"Proposal sent")+COUNTIFS(Tracker!$F$2:$F$321,$A43,Tracker!$H$2:$H$321,"Won")+COUNTIFS(Tracker!$F$2:$F$321,$A43,Tracker!$H$2:$H$321,"Lost")</f>
        <v/>
      </c>
      <c r="F43" s="21">
        <f>IFERROR(D43/C43,0)</f>
        <v/>
      </c>
      <c r="G43" s="21">
        <f>IFERROR(E43/C43,0)</f>
        <v/>
      </c>
    </row>
    <row r="44">
      <c r="A44" s="18" t="inlineStr">
        <is>
          <t>Company-page voice</t>
        </is>
      </c>
      <c r="B44" s="18">
        <f>COUNTIF(Tracker!$F$2:$F$321,$A44)</f>
        <v/>
      </c>
      <c r="C44" s="18">
        <f>COUNTIFS(Tracker!$F$2:$F$321,$A44,Tracker!$H$2:$H$321,"Connection sent")+COUNTIFS(Tracker!$F$2:$F$321,$A44,Tracker!$H$2:$H$321,"Connected")+COUNTIFS(Tracker!$F$2:$F$321,$A44,Tracker!$H$2:$H$321,"DM sent")+COUNTIFS(Tracker!$F$2:$F$321,$A44,Tracker!$H$2:$H$321,"Follow-up 1 sent")+COUNTIFS(Tracker!$F$2:$F$321,$A44,Tracker!$H$2:$H$321,"Follow-up 2 sent")+COUNTIFS(Tracker!$F$2:$F$321,$A44,Tracker!$H$2:$H$321,"Replied")+COUNTIFS(Tracker!$F$2:$F$321,$A44,Tracker!$H$2:$H$321,"Teardown sent")+COUNTIFS(Tracker!$F$2:$F$321,$A44,Tracker!$H$2:$H$321,"Call booked")+COUNTIFS(Tracker!$F$2:$F$321,$A44,Tracker!$H$2:$H$321,"Call held")+COUNTIFS(Tracker!$F$2:$F$321,$A44,Tracker!$H$2:$H$321,"Proposal sent")+COUNTIFS(Tracker!$F$2:$F$321,$A44,Tracker!$H$2:$H$321,"Won")+COUNTIFS(Tracker!$F$2:$F$321,$A44,Tracker!$H$2:$H$321,"Lost")+COUNTIFS(Tracker!$F$2:$F$321,$A44,Tracker!$H$2:$H$321,"No response")</f>
        <v/>
      </c>
      <c r="D44" s="18">
        <f>COUNTIFS(Tracker!$F$2:$F$321,$A44,Tracker!$H$2:$H$321,"Replied")+COUNTIFS(Tracker!$F$2:$F$321,$A44,Tracker!$H$2:$H$321,"Teardown sent")+COUNTIFS(Tracker!$F$2:$F$321,$A44,Tracker!$H$2:$H$321,"Call booked")+COUNTIFS(Tracker!$F$2:$F$321,$A44,Tracker!$H$2:$H$321,"Call held")+COUNTIFS(Tracker!$F$2:$F$321,$A44,Tracker!$H$2:$H$321,"Proposal sent")+COUNTIFS(Tracker!$F$2:$F$321,$A44,Tracker!$H$2:$H$321,"Won")+COUNTIFS(Tracker!$F$2:$F$321,$A44,Tracker!$H$2:$H$321,"Lost")</f>
        <v/>
      </c>
      <c r="E44" s="18">
        <f>COUNTIFS(Tracker!$F$2:$F$321,$A44,Tracker!$H$2:$H$321,"Call booked")+COUNTIFS(Tracker!$F$2:$F$321,$A44,Tracker!$H$2:$H$321,"Call held")+COUNTIFS(Tracker!$F$2:$F$321,$A44,Tracker!$H$2:$H$321,"Proposal sent")+COUNTIFS(Tracker!$F$2:$F$321,$A44,Tracker!$H$2:$H$321,"Won")+COUNTIFS(Tracker!$F$2:$F$321,$A44,Tracker!$H$2:$H$321,"Lost")</f>
        <v/>
      </c>
      <c r="F44" s="21">
        <f>IFERROR(D44/C44,0)</f>
        <v/>
      </c>
      <c r="G44" s="21">
        <f>IFERROR(E44/C44,0)</f>
        <v/>
      </c>
    </row>
    <row r="45">
      <c r="A45" s="18" t="inlineStr">
        <is>
          <t>Emerging writer</t>
        </is>
      </c>
      <c r="B45" s="18">
        <f>COUNTIF(Tracker!$F$2:$F$321,$A45)</f>
        <v/>
      </c>
      <c r="C45" s="18">
        <f>COUNTIFS(Tracker!$F$2:$F$321,$A45,Tracker!$H$2:$H$321,"Connection sent")+COUNTIFS(Tracker!$F$2:$F$321,$A45,Tracker!$H$2:$H$321,"Connected")+COUNTIFS(Tracker!$F$2:$F$321,$A45,Tracker!$H$2:$H$321,"DM sent")+COUNTIFS(Tracker!$F$2:$F$321,$A45,Tracker!$H$2:$H$321,"Follow-up 1 sent")+COUNTIFS(Tracker!$F$2:$F$321,$A45,Tracker!$H$2:$H$321,"Follow-up 2 sent")+COUNTIFS(Tracker!$F$2:$F$321,$A45,Tracker!$H$2:$H$321,"Replied")+COUNTIFS(Tracker!$F$2:$F$321,$A45,Tracker!$H$2:$H$321,"Teardown sent")+COUNTIFS(Tracker!$F$2:$F$321,$A45,Tracker!$H$2:$H$321,"Call booked")+COUNTIFS(Tracker!$F$2:$F$321,$A45,Tracker!$H$2:$H$321,"Call held")+COUNTIFS(Tracker!$F$2:$F$321,$A45,Tracker!$H$2:$H$321,"Proposal sent")+COUNTIFS(Tracker!$F$2:$F$321,$A45,Tracker!$H$2:$H$321,"Won")+COUNTIFS(Tracker!$F$2:$F$321,$A45,Tracker!$H$2:$H$321,"Lost")+COUNTIFS(Tracker!$F$2:$F$321,$A45,Tracker!$H$2:$H$321,"No response")</f>
        <v/>
      </c>
      <c r="D45" s="18">
        <f>COUNTIFS(Tracker!$F$2:$F$321,$A45,Tracker!$H$2:$H$321,"Replied")+COUNTIFS(Tracker!$F$2:$F$321,$A45,Tracker!$H$2:$H$321,"Teardown sent")+COUNTIFS(Tracker!$F$2:$F$321,$A45,Tracker!$H$2:$H$321,"Call booked")+COUNTIFS(Tracker!$F$2:$F$321,$A45,Tracker!$H$2:$H$321,"Call held")+COUNTIFS(Tracker!$F$2:$F$321,$A45,Tracker!$H$2:$H$321,"Proposal sent")+COUNTIFS(Tracker!$F$2:$F$321,$A45,Tracker!$H$2:$H$321,"Won")+COUNTIFS(Tracker!$F$2:$F$321,$A45,Tracker!$H$2:$H$321,"Lost")</f>
        <v/>
      </c>
      <c r="E45" s="18">
        <f>COUNTIFS(Tracker!$F$2:$F$321,$A45,Tracker!$H$2:$H$321,"Call booked")+COUNTIFS(Tracker!$F$2:$F$321,$A45,Tracker!$H$2:$H$321,"Call held")+COUNTIFS(Tracker!$F$2:$F$321,$A45,Tracker!$H$2:$H$321,"Proposal sent")+COUNTIFS(Tracker!$F$2:$F$321,$A45,Tracker!$H$2:$H$321,"Won")+COUNTIFS(Tracker!$F$2:$F$321,$A45,Tracker!$H$2:$H$321,"Lost")</f>
        <v/>
      </c>
      <c r="F45" s="21">
        <f>IFERROR(D45/C45,0)</f>
        <v/>
      </c>
      <c r="G45" s="21">
        <f>IFERROR(E45/C45,0)</f>
        <v/>
      </c>
    </row>
    <row r="46">
      <c r="A46" s="18" t="inlineStr">
        <is>
          <t>Milestone-only</t>
        </is>
      </c>
      <c r="B46" s="18">
        <f>COUNTIF(Tracker!$F$2:$F$321,$A46)</f>
        <v/>
      </c>
      <c r="C46" s="18">
        <f>COUNTIFS(Tracker!$F$2:$F$321,$A46,Tracker!$H$2:$H$321,"Connection sent")+COUNTIFS(Tracker!$F$2:$F$321,$A46,Tracker!$H$2:$H$321,"Connected")+COUNTIFS(Tracker!$F$2:$F$321,$A46,Tracker!$H$2:$H$321,"DM sent")+COUNTIFS(Tracker!$F$2:$F$321,$A46,Tracker!$H$2:$H$321,"Follow-up 1 sent")+COUNTIFS(Tracker!$F$2:$F$321,$A46,Tracker!$H$2:$H$321,"Follow-up 2 sent")+COUNTIFS(Tracker!$F$2:$F$321,$A46,Tracker!$H$2:$H$321,"Replied")+COUNTIFS(Tracker!$F$2:$F$321,$A46,Tracker!$H$2:$H$321,"Teardown sent")+COUNTIFS(Tracker!$F$2:$F$321,$A46,Tracker!$H$2:$H$321,"Call booked")+COUNTIFS(Tracker!$F$2:$F$321,$A46,Tracker!$H$2:$H$321,"Call held")+COUNTIFS(Tracker!$F$2:$F$321,$A46,Tracker!$H$2:$H$321,"Proposal sent")+COUNTIFS(Tracker!$F$2:$F$321,$A46,Tracker!$H$2:$H$321,"Won")+COUNTIFS(Tracker!$F$2:$F$321,$A46,Tracker!$H$2:$H$321,"Lost")+COUNTIFS(Tracker!$F$2:$F$321,$A46,Tracker!$H$2:$H$321,"No response")</f>
        <v/>
      </c>
      <c r="D46" s="18">
        <f>COUNTIFS(Tracker!$F$2:$F$321,$A46,Tracker!$H$2:$H$321,"Replied")+COUNTIFS(Tracker!$F$2:$F$321,$A46,Tracker!$H$2:$H$321,"Teardown sent")+COUNTIFS(Tracker!$F$2:$F$321,$A46,Tracker!$H$2:$H$321,"Call booked")+COUNTIFS(Tracker!$F$2:$F$321,$A46,Tracker!$H$2:$H$321,"Call held")+COUNTIFS(Tracker!$F$2:$F$321,$A46,Tracker!$H$2:$H$321,"Proposal sent")+COUNTIFS(Tracker!$F$2:$F$321,$A46,Tracker!$H$2:$H$321,"Won")+COUNTIFS(Tracker!$F$2:$F$321,$A46,Tracker!$H$2:$H$321,"Lost")</f>
        <v/>
      </c>
      <c r="E46" s="18">
        <f>COUNTIFS(Tracker!$F$2:$F$321,$A46,Tracker!$H$2:$H$321,"Call booked")+COUNTIFS(Tracker!$F$2:$F$321,$A46,Tracker!$H$2:$H$321,"Call held")+COUNTIFS(Tracker!$F$2:$F$321,$A46,Tracker!$H$2:$H$321,"Proposal sent")+COUNTIFS(Tracker!$F$2:$F$321,$A46,Tracker!$H$2:$H$321,"Won")+COUNTIFS(Tracker!$F$2:$F$321,$A46,Tracker!$H$2:$H$321,"Lost")</f>
        <v/>
      </c>
      <c r="F46" s="21">
        <f>IFERROR(D46/C46,0)</f>
        <v/>
      </c>
      <c r="G46" s="21">
        <f>IFERROR(E46/C46,0)</f>
        <v/>
      </c>
    </row>
    <row r="47">
      <c r="A47" s="18" t="inlineStr">
        <is>
          <t>Near-silent</t>
        </is>
      </c>
      <c r="B47" s="18">
        <f>COUNTIF(Tracker!$F$2:$F$321,$A47)</f>
        <v/>
      </c>
      <c r="C47" s="18">
        <f>COUNTIFS(Tracker!$F$2:$F$321,$A47,Tracker!$H$2:$H$321,"Connection sent")+COUNTIFS(Tracker!$F$2:$F$321,$A47,Tracker!$H$2:$H$321,"Connected")+COUNTIFS(Tracker!$F$2:$F$321,$A47,Tracker!$H$2:$H$321,"DM sent")+COUNTIFS(Tracker!$F$2:$F$321,$A47,Tracker!$H$2:$H$321,"Follow-up 1 sent")+COUNTIFS(Tracker!$F$2:$F$321,$A47,Tracker!$H$2:$H$321,"Follow-up 2 sent")+COUNTIFS(Tracker!$F$2:$F$321,$A47,Tracker!$H$2:$H$321,"Replied")+COUNTIFS(Tracker!$F$2:$F$321,$A47,Tracker!$H$2:$H$321,"Teardown sent")+COUNTIFS(Tracker!$F$2:$F$321,$A47,Tracker!$H$2:$H$321,"Call booked")+COUNTIFS(Tracker!$F$2:$F$321,$A47,Tracker!$H$2:$H$321,"Call held")+COUNTIFS(Tracker!$F$2:$F$321,$A47,Tracker!$H$2:$H$321,"Proposal sent")+COUNTIFS(Tracker!$F$2:$F$321,$A47,Tracker!$H$2:$H$321,"Won")+COUNTIFS(Tracker!$F$2:$F$321,$A47,Tracker!$H$2:$H$321,"Lost")+COUNTIFS(Tracker!$F$2:$F$321,$A47,Tracker!$H$2:$H$321,"No response")</f>
        <v/>
      </c>
      <c r="D47" s="18">
        <f>COUNTIFS(Tracker!$F$2:$F$321,$A47,Tracker!$H$2:$H$321,"Replied")+COUNTIFS(Tracker!$F$2:$F$321,$A47,Tracker!$H$2:$H$321,"Teardown sent")+COUNTIFS(Tracker!$F$2:$F$321,$A47,Tracker!$H$2:$H$321,"Call booked")+COUNTIFS(Tracker!$F$2:$F$321,$A47,Tracker!$H$2:$H$321,"Call held")+COUNTIFS(Tracker!$F$2:$F$321,$A47,Tracker!$H$2:$H$321,"Proposal sent")+COUNTIFS(Tracker!$F$2:$F$321,$A47,Tracker!$H$2:$H$321,"Won")+COUNTIFS(Tracker!$F$2:$F$321,$A47,Tracker!$H$2:$H$321,"Lost")</f>
        <v/>
      </c>
      <c r="E47" s="18">
        <f>COUNTIFS(Tracker!$F$2:$F$321,$A47,Tracker!$H$2:$H$321,"Call booked")+COUNTIFS(Tracker!$F$2:$F$321,$A47,Tracker!$H$2:$H$321,"Call held")+COUNTIFS(Tracker!$F$2:$F$321,$A47,Tracker!$H$2:$H$321,"Proposal sent")+COUNTIFS(Tracker!$F$2:$F$321,$A47,Tracker!$H$2:$H$321,"Won")+COUNTIFS(Tracker!$F$2:$F$321,$A47,Tracker!$H$2:$H$321,"Lost")</f>
        <v/>
      </c>
      <c r="F47" s="21">
        <f>IFERROR(D47/C47,0)</f>
        <v/>
      </c>
      <c r="G47" s="21">
        <f>IFERROR(E47/C47,0)</f>
        <v/>
      </c>
    </row>
    <row r="48">
      <c r="A48" s="18" t="inlineStr">
        <is>
          <t>Not indexed</t>
        </is>
      </c>
      <c r="B48" s="18">
        <f>COUNTIF(Tracker!$F$2:$F$321,$A48)</f>
        <v/>
      </c>
      <c r="C48" s="18">
        <f>COUNTIFS(Tracker!$F$2:$F$321,$A48,Tracker!$H$2:$H$321,"Connection sent")+COUNTIFS(Tracker!$F$2:$F$321,$A48,Tracker!$H$2:$H$321,"Connected")+COUNTIFS(Tracker!$F$2:$F$321,$A48,Tracker!$H$2:$H$321,"DM sent")+COUNTIFS(Tracker!$F$2:$F$321,$A48,Tracker!$H$2:$H$321,"Follow-up 1 sent")+COUNTIFS(Tracker!$F$2:$F$321,$A48,Tracker!$H$2:$H$321,"Follow-up 2 sent")+COUNTIFS(Tracker!$F$2:$F$321,$A48,Tracker!$H$2:$H$321,"Replied")+COUNTIFS(Tracker!$F$2:$F$321,$A48,Tracker!$H$2:$H$321,"Teardown sent")+COUNTIFS(Tracker!$F$2:$F$321,$A48,Tracker!$H$2:$H$321,"Call booked")+COUNTIFS(Tracker!$F$2:$F$321,$A48,Tracker!$H$2:$H$321,"Call held")+COUNTIFS(Tracker!$F$2:$F$321,$A48,Tracker!$H$2:$H$321,"Proposal sent")+COUNTIFS(Tracker!$F$2:$F$321,$A48,Tracker!$H$2:$H$321,"Won")+COUNTIFS(Tracker!$F$2:$F$321,$A48,Tracker!$H$2:$H$321,"Lost")+COUNTIFS(Tracker!$F$2:$F$321,$A48,Tracker!$H$2:$H$321,"No response")</f>
        <v/>
      </c>
      <c r="D48" s="18">
        <f>COUNTIFS(Tracker!$F$2:$F$321,$A48,Tracker!$H$2:$H$321,"Replied")+COUNTIFS(Tracker!$F$2:$F$321,$A48,Tracker!$H$2:$H$321,"Teardown sent")+COUNTIFS(Tracker!$F$2:$F$321,$A48,Tracker!$H$2:$H$321,"Call booked")+COUNTIFS(Tracker!$F$2:$F$321,$A48,Tracker!$H$2:$H$321,"Call held")+COUNTIFS(Tracker!$F$2:$F$321,$A48,Tracker!$H$2:$H$321,"Proposal sent")+COUNTIFS(Tracker!$F$2:$F$321,$A48,Tracker!$H$2:$H$321,"Won")+COUNTIFS(Tracker!$F$2:$F$321,$A48,Tracker!$H$2:$H$321,"Lost")</f>
        <v/>
      </c>
      <c r="E48" s="18">
        <f>COUNTIFS(Tracker!$F$2:$F$321,$A48,Tracker!$H$2:$H$321,"Call booked")+COUNTIFS(Tracker!$F$2:$F$321,$A48,Tracker!$H$2:$H$321,"Call held")+COUNTIFS(Tracker!$F$2:$F$321,$A48,Tracker!$H$2:$H$321,"Proposal sent")+COUNTIFS(Tracker!$F$2:$F$321,$A48,Tracker!$H$2:$H$321,"Won")+COUNTIFS(Tracker!$F$2:$F$321,$A48,Tracker!$H$2:$H$321,"Lost")</f>
        <v/>
      </c>
      <c r="F48" s="21">
        <f>IFERROR(D48/C48,0)</f>
        <v/>
      </c>
      <c r="G48" s="21">
        <f>IFERROR(E48/C48,0)</f>
        <v/>
      </c>
    </row>
    <row r="49">
      <c r="A49" s="18" t="inlineStr">
        <is>
          <t>Research voice</t>
        </is>
      </c>
      <c r="B49" s="18">
        <f>COUNTIF(Tracker!$F$2:$F$321,$A49)</f>
        <v/>
      </c>
      <c r="C49" s="18">
        <f>COUNTIFS(Tracker!$F$2:$F$321,$A49,Tracker!$H$2:$H$321,"Connection sent")+COUNTIFS(Tracker!$F$2:$F$321,$A49,Tracker!$H$2:$H$321,"Connected")+COUNTIFS(Tracker!$F$2:$F$321,$A49,Tracker!$H$2:$H$321,"DM sent")+COUNTIFS(Tracker!$F$2:$F$321,$A49,Tracker!$H$2:$H$321,"Follow-up 1 sent")+COUNTIFS(Tracker!$F$2:$F$321,$A49,Tracker!$H$2:$H$321,"Follow-up 2 sent")+COUNTIFS(Tracker!$F$2:$F$321,$A49,Tracker!$H$2:$H$321,"Replied")+COUNTIFS(Tracker!$F$2:$F$321,$A49,Tracker!$H$2:$H$321,"Teardown sent")+COUNTIFS(Tracker!$F$2:$F$321,$A49,Tracker!$H$2:$H$321,"Call booked")+COUNTIFS(Tracker!$F$2:$F$321,$A49,Tracker!$H$2:$H$321,"Call held")+COUNTIFS(Tracker!$F$2:$F$321,$A49,Tracker!$H$2:$H$321,"Proposal sent")+COUNTIFS(Tracker!$F$2:$F$321,$A49,Tracker!$H$2:$H$321,"Won")+COUNTIFS(Tracker!$F$2:$F$321,$A49,Tracker!$H$2:$H$321,"Lost")+COUNTIFS(Tracker!$F$2:$F$321,$A49,Tracker!$H$2:$H$321,"No response")</f>
        <v/>
      </c>
      <c r="D49" s="18">
        <f>COUNTIFS(Tracker!$F$2:$F$321,$A49,Tracker!$H$2:$H$321,"Replied")+COUNTIFS(Tracker!$F$2:$F$321,$A49,Tracker!$H$2:$H$321,"Teardown sent")+COUNTIFS(Tracker!$F$2:$F$321,$A49,Tracker!$H$2:$H$321,"Call booked")+COUNTIFS(Tracker!$F$2:$F$321,$A49,Tracker!$H$2:$H$321,"Call held")+COUNTIFS(Tracker!$F$2:$F$321,$A49,Tracker!$H$2:$H$321,"Proposal sent")+COUNTIFS(Tracker!$F$2:$F$321,$A49,Tracker!$H$2:$H$321,"Won")+COUNTIFS(Tracker!$F$2:$F$321,$A49,Tracker!$H$2:$H$321,"Lost")</f>
        <v/>
      </c>
      <c r="E49" s="18">
        <f>COUNTIFS(Tracker!$F$2:$F$321,$A49,Tracker!$H$2:$H$321,"Call booked")+COUNTIFS(Tracker!$F$2:$F$321,$A49,Tracker!$H$2:$H$321,"Call held")+COUNTIFS(Tracker!$F$2:$F$321,$A49,Tracker!$H$2:$H$321,"Proposal sent")+COUNTIFS(Tracker!$F$2:$F$321,$A49,Tracker!$H$2:$H$321,"Won")+COUNTIFS(Tracker!$F$2:$F$321,$A49,Tracker!$H$2:$H$321,"Lost")</f>
        <v/>
      </c>
      <c r="F49" s="21">
        <f>IFERROR(D49/C49,0)</f>
        <v/>
      </c>
      <c r="G49" s="21">
        <f>IFERROR(E49/C49,0)</f>
        <v/>
      </c>
    </row>
    <row r="50">
      <c r="A50" s="18" t="inlineStr">
        <is>
          <t>Went quiet</t>
        </is>
      </c>
      <c r="B50" s="18">
        <f>COUNTIF(Tracker!$F$2:$F$321,$A50)</f>
        <v/>
      </c>
      <c r="C50" s="18">
        <f>COUNTIFS(Tracker!$F$2:$F$321,$A50,Tracker!$H$2:$H$321,"Connection sent")+COUNTIFS(Tracker!$F$2:$F$321,$A50,Tracker!$H$2:$H$321,"Connected")+COUNTIFS(Tracker!$F$2:$F$321,$A50,Tracker!$H$2:$H$321,"DM sent")+COUNTIFS(Tracker!$F$2:$F$321,$A50,Tracker!$H$2:$H$321,"Follow-up 1 sent")+COUNTIFS(Tracker!$F$2:$F$321,$A50,Tracker!$H$2:$H$321,"Follow-up 2 sent")+COUNTIFS(Tracker!$F$2:$F$321,$A50,Tracker!$H$2:$H$321,"Replied")+COUNTIFS(Tracker!$F$2:$F$321,$A50,Tracker!$H$2:$H$321,"Teardown sent")+COUNTIFS(Tracker!$F$2:$F$321,$A50,Tracker!$H$2:$H$321,"Call booked")+COUNTIFS(Tracker!$F$2:$F$321,$A50,Tracker!$H$2:$H$321,"Call held")+COUNTIFS(Tracker!$F$2:$F$321,$A50,Tracker!$H$2:$H$321,"Proposal sent")+COUNTIFS(Tracker!$F$2:$F$321,$A50,Tracker!$H$2:$H$321,"Won")+COUNTIFS(Tracker!$F$2:$F$321,$A50,Tracker!$H$2:$H$321,"Lost")+COUNTIFS(Tracker!$F$2:$F$321,$A50,Tracker!$H$2:$H$321,"No response")</f>
        <v/>
      </c>
      <c r="D50" s="18">
        <f>COUNTIFS(Tracker!$F$2:$F$321,$A50,Tracker!$H$2:$H$321,"Replied")+COUNTIFS(Tracker!$F$2:$F$321,$A50,Tracker!$H$2:$H$321,"Teardown sent")+COUNTIFS(Tracker!$F$2:$F$321,$A50,Tracker!$H$2:$H$321,"Call booked")+COUNTIFS(Tracker!$F$2:$F$321,$A50,Tracker!$H$2:$H$321,"Call held")+COUNTIFS(Tracker!$F$2:$F$321,$A50,Tracker!$H$2:$H$321,"Proposal sent")+COUNTIFS(Tracker!$F$2:$F$321,$A50,Tracker!$H$2:$H$321,"Won")+COUNTIFS(Tracker!$F$2:$F$321,$A50,Tracker!$H$2:$H$321,"Lost")</f>
        <v/>
      </c>
      <c r="E50" s="18">
        <f>COUNTIFS(Tracker!$F$2:$F$321,$A50,Tracker!$H$2:$H$321,"Call booked")+COUNTIFS(Tracker!$F$2:$F$321,$A50,Tracker!$H$2:$H$321,"Call held")+COUNTIFS(Tracker!$F$2:$F$321,$A50,Tracker!$H$2:$H$321,"Proposal sent")+COUNTIFS(Tracker!$F$2:$F$321,$A50,Tracker!$H$2:$H$321,"Won")+COUNTIFS(Tracker!$F$2:$F$321,$A50,Tracker!$H$2:$H$321,"Lost")</f>
        <v/>
      </c>
      <c r="F50" s="21">
        <f>IFERROR(D50/C50,0)</f>
        <v/>
      </c>
      <c r="G50" s="21">
        <f>IFERROR(E50/C50,0)</f>
        <v/>
      </c>
    </row>
    <row r="52">
      <c r="A52" s="20" t="inlineStr">
        <is>
          <t>Leads by tier</t>
        </is>
      </c>
    </row>
    <row r="53">
      <c r="A53" s="17" t="inlineStr">
        <is>
          <t>Tier</t>
        </is>
      </c>
      <c r="B53" s="17" t="inlineStr">
        <is>
          <t>Leads</t>
        </is>
      </c>
      <c r="C53" s="17" t="inlineStr">
        <is>
          <t>Contacted</t>
        </is>
      </c>
      <c r="D53" s="17" t="inlineStr">
        <is>
          <t>Replied</t>
        </is>
      </c>
      <c r="E53" s="17" t="inlineStr">
        <is>
          <t>Calls</t>
        </is>
      </c>
      <c r="F53" s="17" t="inlineStr">
        <is>
          <t>Reply rate</t>
        </is>
      </c>
      <c r="G53" s="17" t="inlineStr">
        <is>
          <t>Call rate</t>
        </is>
      </c>
    </row>
    <row r="54">
      <c r="A54" s="18" t="inlineStr">
        <is>
          <t>Priority</t>
        </is>
      </c>
      <c r="B54" s="18">
        <f>COUNTIF(Tracker!$E$2:$E$321,$A54)</f>
        <v/>
      </c>
      <c r="C54" s="18">
        <f>COUNTIFS(Tracker!$E$2:$E$321,$A54,Tracker!$H$2:$H$321,"Connection sent")+COUNTIFS(Tracker!$E$2:$E$321,$A54,Tracker!$H$2:$H$321,"Connected")+COUNTIFS(Tracker!$E$2:$E$321,$A54,Tracker!$H$2:$H$321,"DM sent")+COUNTIFS(Tracker!$E$2:$E$321,$A54,Tracker!$H$2:$H$321,"Follow-up 1 sent")+COUNTIFS(Tracker!$E$2:$E$321,$A54,Tracker!$H$2:$H$321,"Follow-up 2 sent")+COUNTIFS(Tracker!$E$2:$E$321,$A54,Tracker!$H$2:$H$321,"Replied")+COUNTIFS(Tracker!$E$2:$E$321,$A54,Tracker!$H$2:$H$321,"Teardown sent")+COUNTIFS(Tracker!$E$2:$E$321,$A54,Tracker!$H$2:$H$321,"Call booked")+COUNTIFS(Tracker!$E$2:$E$321,$A54,Tracker!$H$2:$H$321,"Call held")+COUNTIFS(Tracker!$E$2:$E$321,$A54,Tracker!$H$2:$H$321,"Proposal sent")+COUNTIFS(Tracker!$E$2:$E$321,$A54,Tracker!$H$2:$H$321,"Won")+COUNTIFS(Tracker!$E$2:$E$321,$A54,Tracker!$H$2:$H$321,"Lost")+COUNTIFS(Tracker!$E$2:$E$321,$A54,Tracker!$H$2:$H$321,"No response")</f>
        <v/>
      </c>
      <c r="D54" s="18">
        <f>COUNTIFS(Tracker!$E$2:$E$321,$A54,Tracker!$H$2:$H$321,"Replied")+COUNTIFS(Tracker!$E$2:$E$321,$A54,Tracker!$H$2:$H$321,"Teardown sent")+COUNTIFS(Tracker!$E$2:$E$321,$A54,Tracker!$H$2:$H$321,"Call booked")+COUNTIFS(Tracker!$E$2:$E$321,$A54,Tracker!$H$2:$H$321,"Call held")+COUNTIFS(Tracker!$E$2:$E$321,$A54,Tracker!$H$2:$H$321,"Proposal sent")+COUNTIFS(Tracker!$E$2:$E$321,$A54,Tracker!$H$2:$H$321,"Won")+COUNTIFS(Tracker!$E$2:$E$321,$A54,Tracker!$H$2:$H$321,"Lost")</f>
        <v/>
      </c>
      <c r="E54" s="18">
        <f>COUNTIFS(Tracker!$E$2:$E$321,$A54,Tracker!$H$2:$H$321,"Call booked")+COUNTIFS(Tracker!$E$2:$E$321,$A54,Tracker!$H$2:$H$321,"Call held")+COUNTIFS(Tracker!$E$2:$E$321,$A54,Tracker!$H$2:$H$321,"Proposal sent")+COUNTIFS(Tracker!$E$2:$E$321,$A54,Tracker!$H$2:$H$321,"Won")+COUNTIFS(Tracker!$E$2:$E$321,$A54,Tracker!$H$2:$H$321,"Lost")</f>
        <v/>
      </c>
      <c r="F54" s="21">
        <f>IFERROR(D54/C54,0)</f>
        <v/>
      </c>
      <c r="G54" s="21">
        <f>IFERROR(E54/C54,0)</f>
        <v/>
      </c>
    </row>
    <row r="55">
      <c r="A55" s="18" t="inlineStr">
        <is>
          <t>Warm</t>
        </is>
      </c>
      <c r="B55" s="18">
        <f>COUNTIF(Tracker!$E$2:$E$321,$A55)</f>
        <v/>
      </c>
      <c r="C55" s="18">
        <f>COUNTIFS(Tracker!$E$2:$E$321,$A55,Tracker!$H$2:$H$321,"Connection sent")+COUNTIFS(Tracker!$E$2:$E$321,$A55,Tracker!$H$2:$H$321,"Connected")+COUNTIFS(Tracker!$E$2:$E$321,$A55,Tracker!$H$2:$H$321,"DM sent")+COUNTIFS(Tracker!$E$2:$E$321,$A55,Tracker!$H$2:$H$321,"Follow-up 1 sent")+COUNTIFS(Tracker!$E$2:$E$321,$A55,Tracker!$H$2:$H$321,"Follow-up 2 sent")+COUNTIFS(Tracker!$E$2:$E$321,$A55,Tracker!$H$2:$H$321,"Replied")+COUNTIFS(Tracker!$E$2:$E$321,$A55,Tracker!$H$2:$H$321,"Teardown sent")+COUNTIFS(Tracker!$E$2:$E$321,$A55,Tracker!$H$2:$H$321,"Call booked")+COUNTIFS(Tracker!$E$2:$E$321,$A55,Tracker!$H$2:$H$321,"Call held")+COUNTIFS(Tracker!$E$2:$E$321,$A55,Tracker!$H$2:$H$321,"Proposal sent")+COUNTIFS(Tracker!$E$2:$E$321,$A55,Tracker!$H$2:$H$321,"Won")+COUNTIFS(Tracker!$E$2:$E$321,$A55,Tracker!$H$2:$H$321,"Lost")+COUNTIFS(Tracker!$E$2:$E$321,$A55,Tracker!$H$2:$H$321,"No response")</f>
        <v/>
      </c>
      <c r="D55" s="18">
        <f>COUNTIFS(Tracker!$E$2:$E$321,$A55,Tracker!$H$2:$H$321,"Replied")+COUNTIFS(Tracker!$E$2:$E$321,$A55,Tracker!$H$2:$H$321,"Teardown sent")+COUNTIFS(Tracker!$E$2:$E$321,$A55,Tracker!$H$2:$H$321,"Call booked")+COUNTIFS(Tracker!$E$2:$E$321,$A55,Tracker!$H$2:$H$321,"Call held")+COUNTIFS(Tracker!$E$2:$E$321,$A55,Tracker!$H$2:$H$321,"Proposal sent")+COUNTIFS(Tracker!$E$2:$E$321,$A55,Tracker!$H$2:$H$321,"Won")+COUNTIFS(Tracker!$E$2:$E$321,$A55,Tracker!$H$2:$H$321,"Lost")</f>
        <v/>
      </c>
      <c r="E55" s="18">
        <f>COUNTIFS(Tracker!$E$2:$E$321,$A55,Tracker!$H$2:$H$321,"Call booked")+COUNTIFS(Tracker!$E$2:$E$321,$A55,Tracker!$H$2:$H$321,"Call held")+COUNTIFS(Tracker!$E$2:$E$321,$A55,Tracker!$H$2:$H$321,"Proposal sent")+COUNTIFS(Tracker!$E$2:$E$321,$A55,Tracker!$H$2:$H$321,"Won")+COUNTIFS(Tracker!$E$2:$E$321,$A55,Tracker!$H$2:$H$321,"Lost")</f>
        <v/>
      </c>
      <c r="F55" s="21">
        <f>IFERROR(D55/C55,0)</f>
        <v/>
      </c>
      <c r="G55" s="21">
        <f>IFERROR(E55/C55,0)</f>
        <v/>
      </c>
    </row>
    <row r="56">
      <c r="A56" s="18" t="inlineStr">
        <is>
          <t>Nurture</t>
        </is>
      </c>
      <c r="B56" s="18">
        <f>COUNTIF(Tracker!$E$2:$E$321,$A56)</f>
        <v/>
      </c>
      <c r="C56" s="18">
        <f>COUNTIFS(Tracker!$E$2:$E$321,$A56,Tracker!$H$2:$H$321,"Connection sent")+COUNTIFS(Tracker!$E$2:$E$321,$A56,Tracker!$H$2:$H$321,"Connected")+COUNTIFS(Tracker!$E$2:$E$321,$A56,Tracker!$H$2:$H$321,"DM sent")+COUNTIFS(Tracker!$E$2:$E$321,$A56,Tracker!$H$2:$H$321,"Follow-up 1 sent")+COUNTIFS(Tracker!$E$2:$E$321,$A56,Tracker!$H$2:$H$321,"Follow-up 2 sent")+COUNTIFS(Tracker!$E$2:$E$321,$A56,Tracker!$H$2:$H$321,"Replied")+COUNTIFS(Tracker!$E$2:$E$321,$A56,Tracker!$H$2:$H$321,"Teardown sent")+COUNTIFS(Tracker!$E$2:$E$321,$A56,Tracker!$H$2:$H$321,"Call booked")+COUNTIFS(Tracker!$E$2:$E$321,$A56,Tracker!$H$2:$H$321,"Call held")+COUNTIFS(Tracker!$E$2:$E$321,$A56,Tracker!$H$2:$H$321,"Proposal sent")+COUNTIFS(Tracker!$E$2:$E$321,$A56,Tracker!$H$2:$H$321,"Won")+COUNTIFS(Tracker!$E$2:$E$321,$A56,Tracker!$H$2:$H$321,"Lost")+COUNTIFS(Tracker!$E$2:$E$321,$A56,Tracker!$H$2:$H$321,"No response")</f>
        <v/>
      </c>
      <c r="D56" s="18">
        <f>COUNTIFS(Tracker!$E$2:$E$321,$A56,Tracker!$H$2:$H$321,"Replied")+COUNTIFS(Tracker!$E$2:$E$321,$A56,Tracker!$H$2:$H$321,"Teardown sent")+COUNTIFS(Tracker!$E$2:$E$321,$A56,Tracker!$H$2:$H$321,"Call booked")+COUNTIFS(Tracker!$E$2:$E$321,$A56,Tracker!$H$2:$H$321,"Call held")+COUNTIFS(Tracker!$E$2:$E$321,$A56,Tracker!$H$2:$H$321,"Proposal sent")+COUNTIFS(Tracker!$E$2:$E$321,$A56,Tracker!$H$2:$H$321,"Won")+COUNTIFS(Tracker!$E$2:$E$321,$A56,Tracker!$H$2:$H$321,"Lost")</f>
        <v/>
      </c>
      <c r="E56" s="18">
        <f>COUNTIFS(Tracker!$E$2:$E$321,$A56,Tracker!$H$2:$H$321,"Call booked")+COUNTIFS(Tracker!$E$2:$E$321,$A56,Tracker!$H$2:$H$321,"Call held")+COUNTIFS(Tracker!$E$2:$E$321,$A56,Tracker!$H$2:$H$321,"Proposal sent")+COUNTIFS(Tracker!$E$2:$E$321,$A56,Tracker!$H$2:$H$321,"Won")+COUNTIFS(Tracker!$E$2:$E$321,$A56,Tracker!$H$2:$H$321,"Lost")</f>
        <v/>
      </c>
      <c r="F56" s="21">
        <f>IFERROR(D56/C56,0)</f>
        <v/>
      </c>
      <c r="G56" s="21">
        <f>IFERROR(E56/C56,0)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4" customWidth="1" min="1" max="1"/>
    <col width="95" customWidth="1" min="2" max="2"/>
  </cols>
  <sheetData>
    <row r="1">
      <c r="A1" s="1" t="inlineStr">
        <is>
          <t>Outreach sequence</t>
        </is>
      </c>
      <c r="B1" s="2" t="inlineStr"/>
    </row>
    <row r="2">
      <c r="A2" s="4" t="inlineStr"/>
      <c r="B2" s="2" t="inlineStr"/>
    </row>
    <row r="3">
      <c r="A3" s="4" t="inlineStr">
        <is>
          <t>Day 1 to 5</t>
        </is>
      </c>
      <c r="B3" s="2" t="inlineStr">
        <is>
          <t>Follow them. Leave 1 or 2 real comments on their funding post or the company page's announcement. If there's nothing recent, just view the profile.</t>
        </is>
      </c>
    </row>
    <row r="4">
      <c r="A4" s="4" t="inlineStr">
        <is>
          <t>Day 6</t>
        </is>
      </c>
      <c r="B4" s="2" t="inlineStr">
        <is>
          <t>Send the connection note from the Leads tab.</t>
        </is>
      </c>
    </row>
    <row r="5">
      <c r="A5" s="4" t="inlineStr">
        <is>
          <t>On accept</t>
        </is>
      </c>
      <c r="B5" s="2" t="inlineStr">
        <is>
          <t>Send the First DM. One question, no pitch.</t>
        </is>
      </c>
    </row>
    <row r="6">
      <c r="A6" s="4" t="inlineStr">
        <is>
          <t>+3 to 4 days, no reply</t>
        </is>
      </c>
      <c r="B6" s="2" t="inlineStr">
        <is>
          <t>Follow-up 1: offer the free 3-point profile teardown (text below).</t>
        </is>
      </c>
    </row>
    <row r="7">
      <c r="A7" s="4" t="inlineStr">
        <is>
          <t>+5 to 6 days after that</t>
        </is>
      </c>
      <c r="B7" s="2" t="inlineStr">
        <is>
          <t>Follow-up 2: last nudge that leaves the door open (text below).</t>
        </is>
      </c>
    </row>
    <row r="8">
      <c r="A8" s="4" t="inlineStr">
        <is>
          <t>Yes to teardown</t>
        </is>
      </c>
      <c r="B8" s="2" t="inlineStr">
        <is>
          <t>Send a 2 to 3 minute Loom within 24 hours covering the teardown focus points, then ask for a 20-minute call.</t>
        </is>
      </c>
    </row>
    <row r="9">
      <c r="A9" s="4" t="inlineStr">
        <is>
          <t>Email (second channel)</t>
        </is>
      </c>
      <c r="B9" s="2" t="inlineStr">
        <is>
          <t>If the connection isn't accepted within 5 days, or there's no reply after the first DM, send the cold email from the Leads tab to their verified work email. One email follow-up 5 days later (reply on the same thread): "Bumping this in case it got buried, [Name]. Happy to send the 3-point teardown instead of a call if that's easier."</t>
        </is>
      </c>
    </row>
    <row r="10">
      <c r="A10" s="4" t="inlineStr"/>
      <c r="B10" s="2" t="inlineStr"/>
    </row>
    <row r="11" ht="90" customHeight="1">
      <c r="A11" s="4" t="inlineStr">
        <is>
          <t>Follow-up 1</t>
        </is>
      </c>
      <c r="B11" s="2" t="inlineStr">
        <is>
          <t>No worries if this is a busy stretch, [Name].
I put together 3 quick notes on your profile.
Things I'd change so people who hear about [Company] and look you up land on something that sells it.
Want me to send them over? Takes 2 minutes to watch.</t>
        </is>
      </c>
    </row>
    <row r="12" ht="60" customHeight="1">
      <c r="A12" s="4" t="inlineStr">
        <is>
          <t>Follow-up 2</t>
        </is>
      </c>
      <c r="B12" s="2" t="inlineStr">
        <is>
          <t>Last one from me, [Name].
If LinkedIn moves up the list after the raise settles, I'm around.
Either way, good luck with [the next milestone].</t>
        </is>
      </c>
    </row>
    <row r="13">
      <c r="A13" s="4" t="inlineStr"/>
      <c r="B13" s="2" t="inlineStr"/>
    </row>
    <row r="14">
      <c r="A14" s="4" t="inlineStr">
        <is>
          <t>Send times</t>
        </is>
      </c>
      <c r="B14" s="2" t="inlineStr">
        <is>
          <t>India 9 to 11am IST. UK 8 to 10am UK time. Canada and US East 8 to 10am ET. US West 8 to 10am PT. MENA (Gulf) 9 to 11am Gulf time, Sunday to Thursday in Saudi, Monday to Friday in the UAE; Egypt 10am to noon Cairo time. Tuesday to Thursday elsewhere.</t>
        </is>
      </c>
    </row>
    <row r="15">
      <c r="A15" s="4" t="inlineStr">
        <is>
          <t>Limits</t>
        </is>
      </c>
      <c r="B15" s="2" t="inlineStr">
        <is>
          <t>Keep connection requests around 15 to 25 a day. Send by hand, no automation.</t>
        </is>
      </c>
    </row>
    <row r="16">
      <c r="A16" s="4" t="inlineStr">
        <is>
          <t>Before each send</t>
        </is>
      </c>
      <c r="B16" s="2" t="inlineStr">
        <is>
          <t>30 seconds on their recent activity: still in role, last post date, any agency or ghostwriter already visible. Fill any [bracketed] line yourself after reading the post.</t>
        </is>
      </c>
    </row>
    <row r="17">
      <c r="A17" s="4" t="inlineStr">
        <is>
          <t>Email rules</t>
        </is>
      </c>
      <c r="B17" s="2" t="inlineStr">
        <is>
          <t>Canada: CASL (relevant to role, unsubscribe). UK: PECR and UK GDPR. US: CAN-SPAM. India: DPDP Act. UAE: PDPL. Saudi Arabia: PDPL. Egypt: PDPL. Keep it relevant to their role and honour any opt-out.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0" customWidth="1" min="1" max="1"/>
    <col width="20" customWidth="1" min="2" max="2"/>
    <col width="20" customWidth="1" min="3" max="3"/>
  </cols>
  <sheetData>
    <row r="1">
      <c r="A1" s="17" t="inlineStr">
        <is>
          <t>Status</t>
        </is>
      </c>
      <c r="B1" s="17" t="inlineStr">
        <is>
          <t>Outcome</t>
        </is>
      </c>
      <c r="C1" s="17" t="inlineStr">
        <is>
          <t>Yes/No</t>
        </is>
      </c>
    </row>
    <row r="2">
      <c r="A2" s="18" t="inlineStr">
        <is>
          <t>Not started</t>
        </is>
      </c>
      <c r="B2" s="18" t="inlineStr">
        <is>
          <t>Won</t>
        </is>
      </c>
      <c r="C2" s="18" t="inlineStr">
        <is>
          <t>Yes</t>
        </is>
      </c>
    </row>
    <row r="3">
      <c r="A3" s="18" t="inlineStr">
        <is>
          <t>Warming up</t>
        </is>
      </c>
      <c r="B3" s="18" t="inlineStr">
        <is>
          <t>Lost</t>
        </is>
      </c>
      <c r="C3" s="18" t="inlineStr">
        <is>
          <t>No</t>
        </is>
      </c>
    </row>
    <row r="4">
      <c r="A4" s="18" t="inlineStr">
        <is>
          <t>Connection sent</t>
        </is>
      </c>
      <c r="B4" s="18" t="inlineStr">
        <is>
          <t>Not now</t>
        </is>
      </c>
    </row>
    <row r="5">
      <c r="A5" s="18" t="inlineStr">
        <is>
          <t>Connected</t>
        </is>
      </c>
      <c r="B5" s="18" t="inlineStr">
        <is>
          <t>No fit</t>
        </is>
      </c>
    </row>
    <row r="6">
      <c r="A6" s="18" t="inlineStr">
        <is>
          <t>DM sent</t>
        </is>
      </c>
      <c r="B6" s="18" t="inlineStr">
        <is>
          <t>Referred</t>
        </is>
      </c>
    </row>
    <row r="7">
      <c r="A7" s="18" t="inlineStr">
        <is>
          <t>Follow-up 1 sent</t>
        </is>
      </c>
    </row>
    <row r="8">
      <c r="A8" s="18" t="inlineStr">
        <is>
          <t>Follow-up 2 sent</t>
        </is>
      </c>
    </row>
    <row r="9">
      <c r="A9" s="18" t="inlineStr">
        <is>
          <t>Replied</t>
        </is>
      </c>
    </row>
    <row r="10">
      <c r="A10" s="18" t="inlineStr">
        <is>
          <t>Teardown sent</t>
        </is>
      </c>
    </row>
    <row r="11">
      <c r="A11" s="18" t="inlineStr">
        <is>
          <t>Call booked</t>
        </is>
      </c>
    </row>
    <row r="12">
      <c r="A12" s="18" t="inlineStr">
        <is>
          <t>Call held</t>
        </is>
      </c>
    </row>
    <row r="13">
      <c r="A13" s="18" t="inlineStr">
        <is>
          <t>Proposal sent</t>
        </is>
      </c>
    </row>
    <row r="14">
      <c r="A14" s="18" t="inlineStr">
        <is>
          <t>Won</t>
        </is>
      </c>
    </row>
    <row r="15">
      <c r="A15" s="18" t="inlineStr">
        <is>
          <t>Lost</t>
        </is>
      </c>
    </row>
    <row r="16">
      <c r="A16" s="18" t="inlineStr">
        <is>
          <t>No response</t>
        </is>
      </c>
    </row>
    <row r="17">
      <c r="A17" s="18" t="inlineStr">
        <is>
          <t>Nurture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2026-10-02T06:05:24Z</dcterms:created>
  <dcterms:modified xsi:type="dcterms:W3CDTF">2026-10-02T06:05:25Z</dcterms:modified>
</cp:coreProperties>
</file>