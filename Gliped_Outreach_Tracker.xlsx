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Leads" sheetId="2" state="visible" r:id="rId2"/>
    <sheet name="Tracker" sheetId="3" state="visible" r:id="rId3"/>
    <sheet name="Dashboard" sheetId="4" state="visible" r:id="rId4"/>
    <sheet name="Sequence" sheetId="5" state="visible" r:id="rId5"/>
    <sheet name="Lists" sheetId="6" state="visible" r:id="rId6"/>
  </sheets>
  <definedNames>
    <definedName name="_xlnm._FilterDatabase" localSheetId="1" hidden="1">'Leads'!$A$1:$W$61</definedName>
    <definedName name="_xlnm._FilterDatabase" localSheetId="2" hidden="1">'Tracker'!$A$1:$Y$61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color rgb="001155CC"/>
      <sz val="10"/>
      <u val="single"/>
    </font>
    <font>
      <name val="Arial"/>
      <i val="1"/>
      <color rgb="00667085"/>
      <sz val="9"/>
    </font>
    <font>
      <name val="Arial"/>
      <b val="1"/>
      <sz val="12"/>
    </font>
  </fonts>
  <fills count="4">
    <fill>
      <patternFill/>
    </fill>
    <fill>
      <patternFill patternType="gray125"/>
    </fill>
    <fill>
      <patternFill patternType="solid">
        <fgColor rgb="00FFF6CC"/>
      </patternFill>
    </fill>
    <fill>
      <patternFill patternType="solid">
        <fgColor rgb="001F3A5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3" fillId="0" borderId="0" applyAlignment="1" pivotButton="0" quotePrefix="0" xfId="0">
      <alignment vertical="top"/>
    </xf>
    <xf numFmtId="0" fontId="2" fillId="2" borderId="0" applyAlignment="1" pivotButton="0" quotePrefix="0" xfId="0">
      <alignment vertical="top" wrapText="1"/>
    </xf>
    <xf numFmtId="0" fontId="4" fillId="3" borderId="1" applyAlignment="1" pivotButton="0" quotePrefix="0" xfId="0">
      <alignment vertical="center" wrapText="1"/>
    </xf>
    <xf numFmtId="0" fontId="2" fillId="0" borderId="1" applyAlignment="1" pivotButton="0" quotePrefix="0" xfId="0">
      <alignment vertical="top" wrapText="1"/>
    </xf>
    <xf numFmtId="0" fontId="5" fillId="2" borderId="1"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xf>
    <xf numFmtId="0" fontId="2" fillId="2" borderId="1" applyAlignment="1" pivotButton="0" quotePrefix="0" xfId="0">
      <alignment vertical="top"/>
    </xf>
    <xf numFmtId="164" fontId="2" fillId="2" borderId="1" applyAlignment="1" pivotButton="0" quotePrefix="0" xfId="0">
      <alignment vertical="top"/>
    </xf>
    <xf numFmtId="164" fontId="2" fillId="0" borderId="1" applyAlignment="1" pivotButton="0" quotePrefix="0" xfId="0">
      <alignment vertical="top"/>
    </xf>
    <xf numFmtId="0" fontId="1" fillId="0" borderId="0" pivotButton="0" quotePrefix="0" xfId="0"/>
    <xf numFmtId="0" fontId="6" fillId="0" borderId="0" pivotButton="0" quotePrefix="0" xfId="0"/>
    <xf numFmtId="0" fontId="4" fillId="3" borderId="0" pivotButton="0" quotePrefix="0" xfId="0"/>
    <xf numFmtId="0" fontId="2" fillId="0" borderId="0" pivotButton="0" quotePrefix="0" xfId="0"/>
    <xf numFmtId="0" fontId="3" fillId="0" borderId="0" pivotButton="0" quotePrefix="0" xfId="0"/>
    <xf numFmtId="0" fontId="7" fillId="0" borderId="0" pivotButton="0" quotePrefix="0" xfId="0"/>
    <xf numFmtId="165" fontId="2" fillId="0" borderId="0" pivotButton="0" quotePrefix="0" xfId="0"/>
  </cellXfs>
  <cellStyles count="1">
    <cellStyle name="Normal" xfId="0" builtinId="0" hidden="0"/>
  </cellStyles>
  <dxfs count="2">
    <dxf>
      <fill>
        <patternFill patternType="solid">
          <fgColor rgb="00F8D7DA"/>
        </patternFill>
      </fill>
    </dxf>
    <dxf>
      <fill>
        <patternFill patternType="solid">
          <fgColor rgb="00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in/ravishankarramachandran" TargetMode="External" Id="rId1" /><Relationship Type="http://schemas.openxmlformats.org/officeDocument/2006/relationships/hyperlink" Target="https://www.linkedin.com/in/karishmarathaur" TargetMode="External" Id="rId2" /><Relationship Type="http://schemas.openxmlformats.org/officeDocument/2006/relationships/hyperlink" Target="https://www.linkedin.com/in/sadra-hosseini" TargetMode="External" Id="rId3" /><Relationship Type="http://schemas.openxmlformats.org/officeDocument/2006/relationships/hyperlink" Target="https://www.linkedin.com/in/erinottawa" TargetMode="External" Id="rId4" /><Relationship Type="http://schemas.openxmlformats.org/officeDocument/2006/relationships/hyperlink" Target="https://www.linkedin.com/in/radhika-gandhi-patil" TargetMode="External" Id="rId5" /><Relationship Type="http://schemas.openxmlformats.org/officeDocument/2006/relationships/hyperlink" Target="https://www.linkedin.com/in/shourya-agarwal-015947b5" TargetMode="External" Id="rId6" /><Relationship Type="http://schemas.openxmlformats.org/officeDocument/2006/relationships/hyperlink" Target="https://www.linkedin.com/in/jagnoors" TargetMode="External" Id="rId7" /><Relationship Type="http://schemas.openxmlformats.org/officeDocument/2006/relationships/hyperlink" Target="https://www.linkedin.com/in/maddietewari" TargetMode="External" Id="rId8" /><Relationship Type="http://schemas.openxmlformats.org/officeDocument/2006/relationships/hyperlink" Target="https://www.linkedin.com/in/benarmstrong2" TargetMode="External" Id="rId9" /><Relationship Type="http://schemas.openxmlformats.org/officeDocument/2006/relationships/hyperlink" Target="https://www.linkedin.com/in/theosaville" TargetMode="External" Id="rId10" /><Relationship Type="http://schemas.openxmlformats.org/officeDocument/2006/relationships/hyperlink" Target="https://www.linkedin.com/in/adrianmurrray" TargetMode="External" Id="rId11" /><Relationship Type="http://schemas.openxmlformats.org/officeDocument/2006/relationships/hyperlink" Target="https://www.linkedin.com/in/raghavmidha" TargetMode="External" Id="rId12" /><Relationship Type="http://schemas.openxmlformats.org/officeDocument/2006/relationships/hyperlink" Target="https://www.linkedin.com/in/doug-schweitzer-573a443b" TargetMode="External" Id="rId13" /><Relationship Type="http://schemas.openxmlformats.org/officeDocument/2006/relationships/hyperlink" Target="https://www.linkedin.com/in/gabriel-rivest-11a019b4" TargetMode="External" Id="rId14" /><Relationship Type="http://schemas.openxmlformats.org/officeDocument/2006/relationships/hyperlink" Target="https://www.linkedin.com/in/david-lighton-b027a917" TargetMode="External" Id="rId15" /><Relationship Type="http://schemas.openxmlformats.org/officeDocument/2006/relationships/hyperlink" Target="https://www.linkedin.com/in/leo-crowe-457815121" TargetMode="External" Id="rId16" /><Relationship Type="http://schemas.openxmlformats.org/officeDocument/2006/relationships/hyperlink" Target="https://www.linkedin.com/in/alex-harland-a110b0149" TargetMode="External" Id="rId17" /><Relationship Type="http://schemas.openxmlformats.org/officeDocument/2006/relationships/hyperlink" Target="https://www.linkedin.com/in/shishir-work" TargetMode="External" Id="rId18" /><Relationship Type="http://schemas.openxmlformats.org/officeDocument/2006/relationships/hyperlink" Target="https://www.linkedin.com/in/shashanknd" TargetMode="External" Id="rId19" /><Relationship Type="http://schemas.openxmlformats.org/officeDocument/2006/relationships/hyperlink" Target="https://www.linkedin.com/in/izerbib" TargetMode="External" Id="rId20" /><Relationship Type="http://schemas.openxmlformats.org/officeDocument/2006/relationships/hyperlink" Target="https://www.linkedin.com/in/aniketshah30" TargetMode="External" Id="rId21" /><Relationship Type="http://schemas.openxmlformats.org/officeDocument/2006/relationships/hyperlink" Target="https://entrackr.com/news/10-minute-food-delivery-startup-swish-raises-24-mn-led-by-bertelsmann-india-investments-12513814" TargetMode="External" Id="rId22" /><Relationship Type="http://schemas.openxmlformats.org/officeDocument/2006/relationships/hyperlink" Target="https://www.linkedin.com/in/sunil-gupta-1733754" TargetMode="External" Id="rId23" /><Relationship Type="http://schemas.openxmlformats.org/officeDocument/2006/relationships/hyperlink" Target="https://startuptalky.com/news/daily-indian-funding-roundup-key-news-9-september-2026/" TargetMode="External" Id="rId24" /><Relationship Type="http://schemas.openxmlformats.org/officeDocument/2006/relationships/hyperlink" Target="https://www.linkedin.com/in/prashant-shah-definedge" TargetMode="External" Id="rId25" /><Relationship Type="http://schemas.openxmlformats.org/officeDocument/2006/relationships/hyperlink" Target="https://entrackr.com/snippets/fintech-and-brokerage-startup-definedge-raises-rs-22-cr-in-pre-series-a-12562400" TargetMode="External" Id="rId26" /><Relationship Type="http://schemas.openxmlformats.org/officeDocument/2006/relationships/hyperlink" Target="https://www.linkedin.com/in/ab-gupta-9b1b8210" TargetMode="External" Id="rId27" /><Relationship Type="http://schemas.openxmlformats.org/officeDocument/2006/relationships/hyperlink" Target="https://entrackr.com/snippets/the-pizza-bakery-operator-popo-global-raises-rs-532-cr-from-artal-asia-12518089" TargetMode="External" Id="rId28" /><Relationship Type="http://schemas.openxmlformats.org/officeDocument/2006/relationships/hyperlink" Target="https://www.linkedin.com/search/results/people/?keywords=Karan%20Jain%20Carrum%20Mobility" TargetMode="External" Id="rId29" /><Relationship Type="http://schemas.openxmlformats.org/officeDocument/2006/relationships/hyperlink" Target="https://techcrunch.com/2026/09/09/uber-invests-10m-in-indian-fleet-operator-carrum-at-168m-valuation/" TargetMode="External" Id="rId30" /><Relationship Type="http://schemas.openxmlformats.org/officeDocument/2006/relationships/hyperlink" Target="https://www.linkedin.com/search/results/people/?keywords=Abhishek%20Murarka%20Circolife" TargetMode="External" Id="rId31" /><Relationship Type="http://schemas.openxmlformats.org/officeDocument/2006/relationships/hyperlink" Target="https://www.exchange4media.com/industry-briefing-news/circolife-raises-45-mn-pre-series-a-158085.html" TargetMode="External" Id="rId32" /><Relationship Type="http://schemas.openxmlformats.org/officeDocument/2006/relationships/hyperlink" Target="https://www.linkedin.com/search/results/people/?keywords=Sneha%20Priya%20Reddy%20UniqYou" TargetMode="External" Id="rId33" /><Relationship Type="http://schemas.openxmlformats.org/officeDocument/2006/relationships/hyperlink" Target="https://startuptalky.com/news/daily-indian-funding-roundup-key-news-14-september-2026/" TargetMode="External" Id="rId34" /><Relationship Type="http://schemas.openxmlformats.org/officeDocument/2006/relationships/hyperlink" Target="https://www.linkedin.com/search/results/people/?keywords=Ankit%20Joshi%20TRUE%20ARTIS" TargetMode="External" Id="rId35" /><Relationship Type="http://schemas.openxmlformats.org/officeDocument/2006/relationships/hyperlink" Target="https://startuptalky.com/news/daily-indian-funding-roundup-key-news-16-september-2026/" TargetMode="External" Id="rId36" /><Relationship Type="http://schemas.openxmlformats.org/officeDocument/2006/relationships/hyperlink" Target="https://www.linkedin.com/search/results/people/?keywords=Devang%20Kumar%20Greenwave%20Circularity" TargetMode="External" Id="rId37" /><Relationship Type="http://schemas.openxmlformats.org/officeDocument/2006/relationships/hyperlink" Target="https://indianstartupnews.com/funding/greenwave-circularity-raises-315-million-from-oeeb-for-odisha-pet-recycling-plant-12516293" TargetMode="External" Id="rId38" /><Relationship Type="http://schemas.openxmlformats.org/officeDocument/2006/relationships/hyperlink" Target="https://www.linkedin.com/search/results/people/?keywords=Avni%20Jain%20Nuvah" TargetMode="External" Id="rId39" /><Relationship Type="http://schemas.openxmlformats.org/officeDocument/2006/relationships/hyperlink" Target="https://startuptalky.com/news/nuvah-raises-4-crore-pre-seed-comfort-heels/" TargetMode="External" Id="rId40" /><Relationship Type="http://schemas.openxmlformats.org/officeDocument/2006/relationships/hyperlink" Target="https://www.linkedin.com/in/charlie-bullock" TargetMode="External" Id="rId41" /><Relationship Type="http://schemas.openxmlformats.org/officeDocument/2006/relationships/hyperlink" Target="https://www.businesswire.com/news/home/20260831019981/en/Scan.com-Raises-$220-Million-to-Build-the-Largest-Medical-Imaging-Network-in-the-US" TargetMode="External" Id="rId42" /><Relationship Type="http://schemas.openxmlformats.org/officeDocument/2006/relationships/hyperlink" Target="https://www.linkedin.com/in/charlie-cook-2088922b" TargetMode="External" Id="rId43" /><Relationship Type="http://schemas.openxmlformats.org/officeDocument/2006/relationships/hyperlink" Target="https://tech.eu/2026/09/03/rightcharge-raises-ps500k-to-scale-fleet-ev-charging-payments-across-europe" TargetMode="External" Id="rId44" /><Relationship Type="http://schemas.openxmlformats.org/officeDocument/2006/relationships/hyperlink" Target="https://www.linkedin.com/in/kojimuto" TargetMode="External" Id="rId45" /><Relationship Type="http://schemas.openxmlformats.org/officeDocument/2006/relationships/hyperlink" Target="https://www.finsmes.com/2026/09/ki-13-raises-5m-in-seed-funding.html" TargetMode="External" Id="rId46" /><Relationship Type="http://schemas.openxmlformats.org/officeDocument/2006/relationships/hyperlink" Target="https://www.linkedin.com/in/francisco-juan-vigo" TargetMode="External" Id="rId47" /><Relationship Type="http://schemas.openxmlformats.org/officeDocument/2006/relationships/hyperlink" Target="https://www.uktech.news/ai/ai-search-visibility-startup-geosurge-scores-9-4m-round-20260703" TargetMode="External" Id="rId48" /><Relationship Type="http://schemas.openxmlformats.org/officeDocument/2006/relationships/hyperlink" Target="https://www.linkedin.com/in/callumadamson" TargetMode="External" Id="rId49" /><Relationship Type="http://schemas.openxmlformats.org/officeDocument/2006/relationships/hyperlink" Target="https://techcrunch.com/2026/07/15/applied-computing-wants-to-give-oil-and-gas-operators-an-ai-model-for-the-entire-plant/" TargetMode="External" Id="rId50" /><Relationship Type="http://schemas.openxmlformats.org/officeDocument/2006/relationships/hyperlink" Target="https://www.linkedin.com/in/lestatmccree" TargetMode="External" Id="rId51" /><Relationship Type="http://schemas.openxmlformats.org/officeDocument/2006/relationships/hyperlink" Target="https://www.globenewswire.com/news-release/2026/08/31/3353334/0/en/semcap-beauty-wellness-leads-funding-round-for-healf.html" TargetMode="External" Id="rId52" /><Relationship Type="http://schemas.openxmlformats.org/officeDocument/2006/relationships/hyperlink" Target="https://www.linkedin.com/in/itsmejon" TargetMode="External" Id="rId53" /><Relationship Type="http://schemas.openxmlformats.org/officeDocument/2006/relationships/hyperlink" Target="https://tech.eu/2026/07/09/ai-writing-startup-co-founded-by-deepmind-creative-lead-raises-13m-seed-investment/" TargetMode="External" Id="rId54" /><Relationship Type="http://schemas.openxmlformats.org/officeDocument/2006/relationships/hyperlink" Target="https://www.linkedin.com/in/stephen-cowley-8960a0228" TargetMode="External" Id="rId55" /><Relationship Type="http://schemas.openxmlformats.org/officeDocument/2006/relationships/hyperlink" Target="https://www.eu-startups.com/2026/09/uk-startup-pharosyn-raises-e2-5-million-for-pharma-competitive-intelligence-platform" TargetMode="External" Id="rId56" /><Relationship Type="http://schemas.openxmlformats.org/officeDocument/2006/relationships/hyperlink" Target="https://www.linkedin.com/search/results/people/?keywords=Steve%20Rimmer%20Tickets%20for%20Good" TargetMode="External" Id="rId57" /><Relationship Type="http://schemas.openxmlformats.org/officeDocument/2006/relationships/hyperlink" Target="https://www.finsmes.com/2026/09/tickets-for-good-raises-3-9m-in-new-funding.html" TargetMode="External" Id="rId58" /><Relationship Type="http://schemas.openxmlformats.org/officeDocument/2006/relationships/hyperlink" Target="https://www.linkedin.com/search/results/people/?keywords=Ismaeel%20Bashir%20Expanse" TargetMode="External" Id="rId59" /><Relationship Type="http://schemas.openxmlformats.org/officeDocument/2006/relationships/hyperlink" Target="https://www.eu-startups.com/2026/09/u-s-and-u-k-based-expanse-raises-e4-5-million-for-predictive-ai-infrastructure-platform" TargetMode="External" Id="rId60" /><Relationship Type="http://schemas.openxmlformats.org/officeDocument/2006/relationships/hyperlink" Target="https://www.linkedin.com/search/results/people/?keywords=Jason%20Liao%20Mundo%20AI" TargetMode="External" Id="rId61" /><Relationship Type="http://schemas.openxmlformats.org/officeDocument/2006/relationships/hyperlink" Target="https://betakit.com/mundo-announces-24-million-usd-to-help-tackle-ais-next-frontier/" TargetMode="External" Id="rId62" /><Relationship Type="http://schemas.openxmlformats.org/officeDocument/2006/relationships/hyperlink" Target="https://www.linkedin.com/in/dbennahum" TargetMode="External" Id="rId63" /><Relationship Type="http://schemas.openxmlformats.org/officeDocument/2006/relationships/hyperlink" Target="https://betakit.com/onix-raises-5-million-usd-to-create-ai-library-of-health-and-wellness-experts/" TargetMode="External" Id="rId64" /><Relationship Type="http://schemas.openxmlformats.org/officeDocument/2006/relationships/hyperlink" Target="https://www.linkedin.com/in/braatzy" TargetMode="External" Id="rId65" /><Relationship Type="http://schemas.openxmlformats.org/officeDocument/2006/relationships/hyperlink" Target="https://www.finsmes.com/2026/09/fullscript-receives-investment.html" TargetMode="External" Id="rId66" /><Relationship Type="http://schemas.openxmlformats.org/officeDocument/2006/relationships/hyperlink" Target="https://www.linkedin.com/in/lmaurice" TargetMode="External" Id="rId67" /><Relationship Type="http://schemas.openxmlformats.org/officeDocument/2006/relationships/hyperlink" Target="https://www.finsmes.com/2026/08/busbud-raises-40m-in-funding.html" TargetMode="External" Id="rId68" /><Relationship Type="http://schemas.openxmlformats.org/officeDocument/2006/relationships/hyperlink" Target="https://www.linkedin.com/in/sgarneau" TargetMode="External" Id="rId69" /><Relationship Type="http://schemas.openxmlformats.org/officeDocument/2006/relationships/hyperlink" Target="https://betakit.com/micrologic-raises-45-million-for-sovereign-cloud-services/" TargetMode="External" Id="rId70" /><Relationship Type="http://schemas.openxmlformats.org/officeDocument/2006/relationships/hyperlink" Target="https://www.linkedin.com/in/sanja-fidler-2846a1a" TargetMode="External" Id="rId71" /><Relationship Type="http://schemas.openxmlformats.org/officeDocument/2006/relationships/hyperlink" Target="https://www.finsmes.com/2026/08/veeda-innovation-raises-over-90m-in-seed-funding.html" TargetMode="External" Id="rId72" /><Relationship Type="http://schemas.openxmlformats.org/officeDocument/2006/relationships/hyperlink" Target="https://www.linkedin.com/in/hkimia" TargetMode="External" Id="rId73" /><Relationship Type="http://schemas.openxmlformats.org/officeDocument/2006/relationships/hyperlink" Target="https://www.axios.com/pro/enterprise-software-deals/2026/02/25/govtech-nationgraph-18-million-menlo" TargetMode="External" Id="rId74" /><Relationship Type="http://schemas.openxmlformats.org/officeDocument/2006/relationships/hyperlink" Target="https://www.linkedin.com/search/results/people/?keywords=Darren%20Hill%20Legio" TargetMode="External" Id="rId75" /><Relationship Type="http://schemas.openxmlformats.org/officeDocument/2006/relationships/hyperlink" Target="https://www.finsmes.com/2026/08/legio-raises-5m-in-seed-funding.html" TargetMode="External" Id="rId76" /><Relationship Type="http://schemas.openxmlformats.org/officeDocument/2006/relationships/hyperlink" Target="https://www.linkedin.com/search/results/people/?keywords=Kelvin%20Cui%20Peripheral" TargetMode="External" Id="rId77" /><Relationship Type="http://schemas.openxmlformats.org/officeDocument/2006/relationships/hyperlink" Target="https://www.finsmes.com/2026/08/peripheral-raises-8-7m-in-seed-funding.html" TargetMode="External" Id="rId78" /><Relationship Type="http://schemas.openxmlformats.org/officeDocument/2006/relationships/hyperlink" Target="https://www.linkedin.com/in/sumitproducer" TargetMode="External" Id="rId79" /><Relationship Type="http://schemas.openxmlformats.org/officeDocument/2006/relationships/hyperlink" Target="https://lbbonline.com/news/sumit-ajwani-makeos-ai-workspace-producers" TargetMode="External" Id="rId80" /><Relationship Type="http://schemas.openxmlformats.org/officeDocument/2006/relationships/hyperlink" Target="https://www.linkedin.com/in/bakershogry" TargetMode="External" Id="rId81" /><Relationship Type="http://schemas.openxmlformats.org/officeDocument/2006/relationships/hyperlink" Target="https://www.finsmes.com/2026/09/light-raises-46m-in-series-a-funding.html" TargetMode="External" Id="rId82" /><Relationship Type="http://schemas.openxmlformats.org/officeDocument/2006/relationships/hyperlink" Target="https://www.linkedin.com/in/guy-shahar" TargetMode="External" Id="rId83" /><Relationship Type="http://schemas.openxmlformats.org/officeDocument/2006/relationships/hyperlink" Target="https://www.finsmes.com/2026/09/blee-raises-20m-in-series-a-funding.html" TargetMode="External" Id="rId84" /><Relationship Type="http://schemas.openxmlformats.org/officeDocument/2006/relationships/hyperlink" Target="https://www.linkedin.com/in/michael-laframboise" TargetMode="External" Id="rId85" /><Relationship Type="http://schemas.openxmlformats.org/officeDocument/2006/relationships/hyperlink" Target="https://www.finsmes.com/2026/08/aurelius-systems-raises-40m-in-series-a-funding.html" TargetMode="External" Id="rId86" /><Relationship Type="http://schemas.openxmlformats.org/officeDocument/2006/relationships/hyperlink" Target="https://www.linkedin.com/in/noahschochet" TargetMode="External" Id="rId87" /><Relationship Type="http://schemas.openxmlformats.org/officeDocument/2006/relationships/hyperlink" Target="https://www.finsmes.com/2026/07/terrafirma-raises-100m-in-series-a-funding.html" TargetMode="External" Id="rId88" /><Relationship Type="http://schemas.openxmlformats.org/officeDocument/2006/relationships/hyperlink" Target="https://www.linkedin.com/in/christianondaatje" TargetMode="External" Id="rId89" /><Relationship Type="http://schemas.openxmlformats.org/officeDocument/2006/relationships/hyperlink" Target="https://www.finsmes.com/2026/09/aranya-raises-11m-in-funding.html" TargetMode="External" Id="rId90" /><Relationship Type="http://schemas.openxmlformats.org/officeDocument/2006/relationships/hyperlink" Target="https://www.linkedin.com/in/kaitlyn-claire-albertoli" TargetMode="External" Id="rId91" /><Relationship Type="http://schemas.openxmlformats.org/officeDocument/2006/relationships/hyperlink" Target="https://www.finsmes.com/2026/08/buzz-solutions-raises-20m-in-series-a-funding.html" TargetMode="External" Id="rId92" /><Relationship Type="http://schemas.openxmlformats.org/officeDocument/2006/relationships/hyperlink" Target="https://www.linkedin.com/in/oscar-levy" TargetMode="External" Id="rId93" /><Relationship Type="http://schemas.openxmlformats.org/officeDocument/2006/relationships/hyperlink" Target="https://fortune.com/2026/08/11/exclusive-river-markets-seed-round-prediction-market-trading-tools-institutions/" TargetMode="External" Id="rId94" /><Relationship Type="http://schemas.openxmlformats.org/officeDocument/2006/relationships/hyperlink" Target="https://www.linkedin.com/search/results/people/?keywords=Adel%20Badiri%20Foundational%20Industries" TargetMode="External" Id="rId95" /><Relationship Type="http://schemas.openxmlformats.org/officeDocument/2006/relationships/hyperlink" Target="https://www.finsmes.com/2026/08/foundational-industries-raises-25m-in-seed-funding.html" TargetMode="External" Id="rId96" /><Relationship Type="http://schemas.openxmlformats.org/officeDocument/2006/relationships/hyperlink" Target="https://www.linkedin.com/search/results/people/?keywords=David%20Lawrence%20Blue%20Voice" TargetMode="External" Id="rId97" /><Relationship Type="http://schemas.openxmlformats.org/officeDocument/2006/relationships/hyperlink" Target="https://techcrunch.com/2026/08/31/harvard-law-dropout-raises-6m-for-blue-voice-to-build-a-harvey-for-police-officers/" TargetMode="External" Id="rId98" /><Relationship Type="http://schemas.openxmlformats.org/officeDocument/2006/relationships/hyperlink" Target="https://www.linkedin.com/search/results/people/?keywords=Ian%20McInnis%20Multiplier" TargetMode="External" Id="rId99" /><Relationship Type="http://schemas.openxmlformats.org/officeDocument/2006/relationships/hyperlink" Target="https://www.finsmes.com/2026/08/multiplier-raises-usd6m-in-seed-funding.html" TargetMode="External" Id="rId100"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0" customWidth="1" min="2" max="2"/>
  </cols>
  <sheetData>
    <row r="1">
      <c r="A1" s="1" t="inlineStr">
        <is>
          <t>Gliped outreach tracker</t>
        </is>
      </c>
      <c r="B1" s="2" t="inlineStr"/>
    </row>
    <row r="2">
      <c r="A2" s="3" t="inlineStr"/>
      <c r="B2" s="2" t="inlineStr"/>
    </row>
    <row r="3">
      <c r="A3" s="4" t="inlineStr">
        <is>
          <t>Tabs</t>
        </is>
      </c>
      <c r="B3" s="2" t="inlineStr"/>
    </row>
    <row r="4">
      <c r="A4" s="4" t="inlineStr">
        <is>
          <t>Leads</t>
        </is>
      </c>
      <c r="B4" s="2" t="inlineStr">
        <is>
          <t>Every lead with trigger, LinkedIn activity pattern, score and ready-to-send messages. One row per person. Add new batches at the bottom with the next ID (G061, G062, ...).</t>
        </is>
      </c>
    </row>
    <row r="5">
      <c r="A5" s="4" t="inlineStr">
        <is>
          <t>Tracker</t>
        </is>
      </c>
      <c r="B5" s="2" t="inlineStr">
        <is>
          <t>Your working sheet. One row per lead ID. Fill the yellow cells as you go. Names, company, region and tier pull from Leads automatically by ID.</t>
        </is>
      </c>
    </row>
    <row r="6">
      <c r="A6" s="4" t="inlineStr">
        <is>
          <t>Dashboard</t>
        </is>
      </c>
      <c r="B6" s="2" t="inlineStr">
        <is>
          <t>Counts and conversion rates by stage, region and activity pattern. Updates itself from Tracker.</t>
        </is>
      </c>
    </row>
    <row r="7">
      <c r="A7" s="4" t="inlineStr">
        <is>
          <t>Sequence</t>
        </is>
      </c>
      <c r="B7" s="2" t="inlineStr">
        <is>
          <t>The shared outreach cadence, follow-up messages and send times.</t>
        </is>
      </c>
    </row>
    <row r="8">
      <c r="A8" s="4" t="inlineStr">
        <is>
          <t>Lists</t>
        </is>
      </c>
      <c r="B8" s="2" t="inlineStr">
        <is>
          <t>Values behind the drop-downs. Edit here to change the options.</t>
        </is>
      </c>
    </row>
    <row r="9">
      <c r="A9" s="3" t="inlineStr"/>
      <c r="B9" s="2" t="inlineStr"/>
    </row>
    <row r="10">
      <c r="A10" s="4" t="inlineStr">
        <is>
          <t>How to fill the Tracker</t>
        </is>
      </c>
      <c r="B10" s="2" t="inlineStr"/>
    </row>
    <row r="11">
      <c r="A11" s="4" t="inlineStr">
        <is>
          <t>Status</t>
        </is>
      </c>
      <c r="B11" s="2" t="inlineStr">
        <is>
          <t>Pick from the drop-down. Move it forward each time something happens.</t>
        </is>
      </c>
    </row>
    <row r="12">
      <c r="A12" s="4" t="inlineStr">
        <is>
          <t>Date columns</t>
        </is>
      </c>
      <c r="B12" s="2" t="inlineStr">
        <is>
          <t>Type dates as YYYY-MM-DD (for example 2026-09-29). Follow-up due dates calculate themselves.</t>
        </is>
      </c>
    </row>
    <row r="13">
      <c r="A13" s="4" t="inlineStr">
        <is>
          <t>FU1 due</t>
        </is>
      </c>
      <c r="B13" s="2" t="inlineStr">
        <is>
          <t>First DM sent + 4 days. Turns red when overdue and FU1 sent is empty.</t>
        </is>
      </c>
    </row>
    <row r="14">
      <c r="A14" s="4" t="inlineStr">
        <is>
          <t>FU2 due</t>
        </is>
      </c>
      <c r="B14" s="2" t="inlineStr">
        <is>
          <t>FU1 sent + 6 days. Turns red when overdue and FU2 sent is empty.</t>
        </is>
      </c>
    </row>
    <row r="15">
      <c r="A15" s="4" t="inlineStr">
        <is>
          <t>Days since last touch</t>
        </is>
      </c>
      <c r="B15" s="2" t="inlineStr">
        <is>
          <t>Days since the latest date you've entered in that row.</t>
        </is>
      </c>
    </row>
    <row r="16">
      <c r="A16" s="4" t="inlineStr">
        <is>
          <t>Yellow cells</t>
        </is>
      </c>
      <c r="B16" s="5" t="inlineStr">
        <is>
          <t>The only cells you need to edit. Grey or white cells are formulas or reference data.</t>
        </is>
      </c>
    </row>
    <row r="17">
      <c r="A17" s="3" t="inlineStr"/>
      <c r="B17" s="2" t="inlineStr"/>
    </row>
    <row r="18">
      <c r="A18" s="4" t="inlineStr">
        <is>
          <t>Example row (format only)</t>
        </is>
      </c>
      <c r="B18" s="2" t="inlineStr">
        <is>
          <t>G999 | Status: DM sent | Warm-up started 2026-09-26 | Connection sent 2026-10-01 | Accepted 2026-10-02 | First DM sent 2026-10-02 | FU1 due fills in as 2026-10-06 | Next action: send FU1 teardown offer</t>
        </is>
      </c>
    </row>
    <row r="19">
      <c r="A19" s="3" t="inlineStr"/>
      <c r="B19" s="2" t="inlineStr"/>
    </row>
    <row r="20">
      <c r="A20" s="4" t="inlineStr">
        <is>
          <t>Scoring</t>
        </is>
      </c>
      <c r="B20" s="2" t="inlineStr">
        <is>
          <t>Trigger in last 90 days (max 30) + profile gap (max 20) + fit (10) + active in last 30 days (10). Intent signals were not visible, so add +30 by hand when someone views your profile or engages with Gliped. Tier: 60+ Priority, 40 to 59 Warm, under 40 Nurture.</t>
        </is>
      </c>
    </row>
    <row r="21">
      <c r="A21" s="4" t="inlineStr">
        <is>
          <t>Profile confirmed = No</t>
        </is>
      </c>
      <c r="B21" s="2" t="inlineStr">
        <is>
          <t>The LinkedIn link is a people search. Open it, match company and role, then paste the real profile URL into Leads and set Profile confirmed to Yes.</t>
        </is>
      </c>
    </row>
    <row r="22">
      <c r="A22" s="4" t="inlineStr">
        <is>
          <t>Activity data</t>
        </is>
      </c>
      <c r="B22" s="2" t="inlineStr">
        <is>
          <t>Posting timelines come from publicly indexed LinkedIn posts, dated from each post's activity ID. The index only catches some posts, so 'last indexed own post' means at least that recent.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22" customWidth="1" min="4" max="4"/>
    <col width="20" customWidth="1" min="5" max="5"/>
    <col width="24" customWidth="1" min="6" max="6"/>
    <col width="10" customWidth="1" min="7" max="7"/>
    <col width="13" customWidth="1" min="8" max="8"/>
    <col width="30" customWidth="1" min="9" max="9"/>
    <col width="10" customWidth="1" min="10" max="10"/>
    <col width="42" customWidth="1" min="11" max="11"/>
    <col width="11" customWidth="1" min="12" max="12"/>
    <col width="24" customWidth="1" min="13" max="13"/>
    <col width="17" customWidth="1" min="14" max="14"/>
    <col width="12" customWidth="1" min="15" max="15"/>
    <col width="50" customWidth="1" min="16" max="16"/>
    <col width="7" customWidth="1" min="17" max="17"/>
    <col width="9" customWidth="1" min="18" max="18"/>
    <col width="45" customWidth="1" min="19" max="19"/>
    <col width="45" customWidth="1" min="20" max="20"/>
    <col width="45" customWidth="1" min="21" max="21"/>
    <col width="40" customWidth="1" min="22" max="22"/>
    <col width="36" customWidth="1" min="23" max="23"/>
  </cols>
  <sheetData>
    <row r="1" ht="32" customHeight="1">
      <c r="A1" s="6" t="inlineStr">
        <is>
          <t>ID</t>
        </is>
      </c>
      <c r="B1" s="6" t="inlineStr">
        <is>
          <t>Batch</t>
        </is>
      </c>
      <c r="C1" s="6" t="inlineStr">
        <is>
          <t>Date added</t>
        </is>
      </c>
      <c r="D1" s="6" t="inlineStr">
        <is>
          <t>Name</t>
        </is>
      </c>
      <c r="E1" s="6" t="inlineStr">
        <is>
          <t>Role</t>
        </is>
      </c>
      <c r="F1" s="6" t="inlineStr">
        <is>
          <t>Company</t>
        </is>
      </c>
      <c r="G1" s="6" t="inlineStr">
        <is>
          <t>Region</t>
        </is>
      </c>
      <c r="H1" s="6" t="inlineStr">
        <is>
          <t>City</t>
        </is>
      </c>
      <c r="I1" s="6" t="inlineStr">
        <is>
          <t>LinkedIn URL</t>
        </is>
      </c>
      <c r="J1" s="6" t="inlineStr">
        <is>
          <t>Profile confirmed</t>
        </is>
      </c>
      <c r="K1" s="6" t="inlineStr">
        <is>
          <t>Trigger</t>
        </is>
      </c>
      <c r="L1" s="6" t="inlineStr">
        <is>
          <t>Trigger date</t>
        </is>
      </c>
      <c r="M1" s="6" t="inlineStr">
        <is>
          <t>Source</t>
        </is>
      </c>
      <c r="N1" s="6" t="inlineStr">
        <is>
          <t>Activity pattern</t>
        </is>
      </c>
      <c r="O1" s="6" t="inlineStr">
        <is>
          <t>Last indexed own post</t>
        </is>
      </c>
      <c r="P1" s="6" t="inlineStr">
        <is>
          <t>Activity notes</t>
        </is>
      </c>
      <c r="Q1" s="6" t="inlineStr">
        <is>
          <t>Score</t>
        </is>
      </c>
      <c r="R1" s="6" t="inlineStr">
        <is>
          <t>Tier</t>
        </is>
      </c>
      <c r="S1" s="6" t="inlineStr">
        <is>
          <t>Angle</t>
        </is>
      </c>
      <c r="T1" s="6" t="inlineStr">
        <is>
          <t>Connection note</t>
        </is>
      </c>
      <c r="U1" s="6" t="inlineStr">
        <is>
          <t>First DM</t>
        </is>
      </c>
      <c r="V1" s="6" t="inlineStr">
        <is>
          <t>Teardown focus</t>
        </is>
      </c>
      <c r="W1" s="6" t="inlineStr">
        <is>
          <t>Notes</t>
        </is>
      </c>
    </row>
    <row r="2" ht="96" customHeight="1">
      <c r="A2" s="7" t="inlineStr">
        <is>
          <t>G001</t>
        </is>
      </c>
      <c r="B2" s="7" t="inlineStr">
        <is>
          <t>01</t>
        </is>
      </c>
      <c r="C2" s="7" t="inlineStr">
        <is>
          <t>2026-09-22</t>
        </is>
      </c>
      <c r="D2" s="7" t="inlineStr">
        <is>
          <t>Ravi Ramachandran</t>
        </is>
      </c>
      <c r="E2" s="7" t="inlineStr">
        <is>
          <t>Founder &amp; CEO</t>
        </is>
      </c>
      <c r="F2" s="7" t="inlineStr">
        <is>
          <t>Nua</t>
        </is>
      </c>
      <c r="G2" s="7" t="inlineStr">
        <is>
          <t>India</t>
        </is>
      </c>
      <c r="H2" s="7" t="inlineStr"/>
      <c r="I2" s="8" t="inlineStr">
        <is>
          <t>https://www.linkedin.com/in/ravishankarramachandran</t>
        </is>
      </c>
      <c r="J2" s="9" t="inlineStr">
        <is>
          <t>Yes</t>
        </is>
      </c>
      <c r="K2" s="7" t="inlineStr">
        <is>
          <t>$50M Series C led by Peak XV and Filter Capital, around 7 Sep 2026.</t>
        </is>
      </c>
      <c r="L2" s="7" t="inlineStr">
        <is>
          <t>2026-09</t>
        </is>
      </c>
      <c r="M2" s="7" t="inlineStr"/>
      <c r="N2" s="7" t="inlineStr">
        <is>
          <t>Milestone-only</t>
        </is>
      </c>
      <c r="O2" s="7" t="inlineStr">
        <is>
          <t>2026-02</t>
        </is>
      </c>
      <c r="P2" s="7" t="inlineStr">
        <is>
          <t>milestone-only. Indexed posts: the Nua x Zepto "zero irritation promise" campaign (Apr 2025) and a "Zero to Scale" video episode on building Nua (Feb 2026). The Series C shows up through FemTech Insider's post, but no post of his own is indexed yet.</t>
        </is>
      </c>
      <c r="Q2" s="7" t="n">
        <v>60</v>
      </c>
      <c r="R2" s="7">
        <f>IF(Q2&gt;=60,"Priority",IF(Q2&gt;=40,"Warm","Nurture"))</f>
        <v/>
      </c>
      <c r="S2" s="7" t="inlineStr">
        <is>
          <t>the post-Series C window. Hiring, category leadership, and keeping the founder story alive between campaigns.</t>
        </is>
      </c>
      <c r="T2" s="7" t="inlineStr">
        <is>
          <t>Hi Ravi, congrats on the Series C.
Came across your Zero to Scale episode on building Nua. [one line on a specific moment from it]
Would be good to connect.</t>
        </is>
      </c>
      <c r="U2" s="7" t="inlineStr">
        <is>
          <t>Thanks for connecting, Ravi.
Quick one. After a round like this, is your own LinkedIn something you want to put real time into?
Or is Nua's page doing that job for now?</t>
        </is>
      </c>
      <c r="V2" s="7" t="inlineStr">
        <is>
          <t>headline vs the Series C story, no featured section pointing to Nua, and the gap between the video episode and what he writes himself.</t>
        </is>
      </c>
      <c r="W2" s="7" t="inlineStr">
        <is>
          <t>India. Warm, respectful tone. Expect a CoS or comms lead in the decision.</t>
        </is>
      </c>
    </row>
    <row r="3" ht="96" customHeight="1">
      <c r="A3" s="7" t="inlineStr">
        <is>
          <t>G002</t>
        </is>
      </c>
      <c r="B3" s="7" t="inlineStr">
        <is>
          <t>01</t>
        </is>
      </c>
      <c r="C3" s="7" t="inlineStr">
        <is>
          <t>2026-09-22</t>
        </is>
      </c>
      <c r="D3" s="7" t="inlineStr">
        <is>
          <t>Karishma Rathaur</t>
        </is>
      </c>
      <c r="E3" s="7" t="inlineStr">
        <is>
          <t>Co-founder</t>
        </is>
      </c>
      <c r="F3" s="7" t="inlineStr">
        <is>
          <t>Firi</t>
        </is>
      </c>
      <c r="G3" s="7" t="inlineStr">
        <is>
          <t>India</t>
        </is>
      </c>
      <c r="H3" s="7" t="inlineStr"/>
      <c r="I3" s="8" t="inlineStr">
        <is>
          <t>https://www.linkedin.com/in/karishmarathaur</t>
        </is>
      </c>
      <c r="J3" s="9" t="inlineStr">
        <is>
          <t>Yes</t>
        </is>
      </c>
      <c r="K3" s="7" t="inlineStr">
        <is>
          <t>Firi was incorporated in June 2026 and raised a $3M seed led by 360 ONE Asset, with Better Capital and Kunal Shah, in September. It runs 9-minute beauty delivery in Gurugram. Before this she co-built Honestly; she and co-founder Vivek Madani met at Uber India and Flipkart.</t>
        </is>
      </c>
      <c r="L3" s="7" t="inlineStr">
        <is>
          <t>2026-06</t>
        </is>
      </c>
      <c r="M3" s="7" t="inlineStr"/>
      <c r="N3" s="7" t="inlineStr">
        <is>
          <t>Milestone-only</t>
        </is>
      </c>
      <c r="O3" s="7" t="inlineStr">
        <is>
          <t>2024-04</t>
        </is>
      </c>
      <c r="P3" s="7" t="inlineStr">
        <is>
          <t>almost invisible. One indexed personal post, about advice she got growing up (Apr 2024).</t>
        </is>
      </c>
      <c r="Q3" s="7" t="n">
        <v>60</v>
      </c>
      <c r="R3" s="7">
        <f>IF(Q3&gt;=60,"Priority",IF(Q3&gt;=40,"Warm","Nurture"))</f>
        <v/>
      </c>
      <c r="S3" s="7" t="inlineStr">
        <is>
          <t>a launch-stage founder brand. Customers, first hires, and the next round all check the founder.</t>
        </is>
      </c>
      <c r="T3" s="7" t="inlineStr">
        <is>
          <t>Hi Karishma, saw the Firi news. Nine-minute beauty delivery is a bold promise.
Following what you and Vivek are building. Would be good to connect.</t>
        </is>
      </c>
      <c r="U3" s="7" t="inlineStr">
        <is>
          <t>Thanks for connecting, Karishma.
Curious how you're thinking about your own voice for Firi.
In beauty, people buy from people. Is founder content part of the launch plan?</t>
        </is>
      </c>
      <c r="V3" s="7" t="inlineStr">
        <is>
          <t>headline still reflecting the old role, no Firi story on the profile, and what three posts a month could look like (building dark stores, what the AI picks up from Reddit and YouTube reviews, operator lessons from Uber and Flipkart).</t>
        </is>
      </c>
      <c r="W3" s="7" t="inlineStr">
        <is>
          <t>India, early stage and price-conscious. Lead with a starter plan and mention the pilot option early.</t>
        </is>
      </c>
    </row>
    <row r="4" ht="96" customHeight="1">
      <c r="A4" s="7" t="inlineStr">
        <is>
          <t>G003</t>
        </is>
      </c>
      <c r="B4" s="7" t="inlineStr">
        <is>
          <t>01</t>
        </is>
      </c>
      <c r="C4" s="7" t="inlineStr">
        <is>
          <t>2026-09-22</t>
        </is>
      </c>
      <c r="D4" s="7" t="inlineStr">
        <is>
          <t>Sadra Hosseini</t>
        </is>
      </c>
      <c r="E4" s="7" t="inlineStr">
        <is>
          <t>Co-founder &amp; CEO</t>
        </is>
      </c>
      <c r="F4" s="7" t="inlineStr">
        <is>
          <t>Ryft</t>
        </is>
      </c>
      <c r="G4" s="7" t="inlineStr">
        <is>
          <t>UK</t>
        </is>
      </c>
      <c r="H4" s="7" t="inlineStr"/>
      <c r="I4" s="8" t="inlineStr">
        <is>
          <t>https://www.linkedin.com/in/sadra-hosseini</t>
        </is>
      </c>
      <c r="J4" s="9" t="inlineStr">
        <is>
          <t>Yes</t>
        </is>
      </c>
      <c r="K4" s="7" t="inlineStr">
        <is>
          <t>€23M to speed up European expansion, Sep 2026.</t>
        </is>
      </c>
      <c r="L4" s="7" t="inlineStr">
        <is>
          <t>2026-09</t>
        </is>
      </c>
      <c r="M4" s="7" t="inlineStr"/>
      <c r="N4" s="7" t="inlineStr">
        <is>
          <t>Went quiet</t>
        </is>
      </c>
      <c r="O4" s="7" t="inlineStr">
        <is>
          <t>2025-04</t>
        </is>
      </c>
      <c r="P4" s="7" t="inlineStr">
        <is>
          <t>went quiet. From 2022 to 2025 he posted steadily: FCA licence (56 comments), a practical post for founders who are fundraising, marketplace payments posts, Innovate UK grant. The last indexed post is Apr 2025.</t>
        </is>
      </c>
      <c r="Q4" s="7" t="n">
        <v>60</v>
      </c>
      <c r="R4" s="7">
        <f>IF(Q4&gt;=60,"Priority",IF(Q4&gt;=40,"Warm","Nurture"))</f>
        <v/>
      </c>
      <c r="S4" s="7" t="inlineStr">
        <is>
          <t>entering new markets. Buyers in France, Germany and the Netherlands will look him up before taking a call.</t>
        </is>
      </c>
      <c r="T4" s="7" t="inlineStr">
        <is>
          <t>Hi Sadra, congrats on the raise and the push into Europe.
Came across your post with advice for founders who are fundraising. [one line on the point you agreed with]
Would be good to connect.</t>
        </is>
      </c>
      <c r="U4" s="7" t="inlineStr">
        <is>
          <t>Thanks for connecting, Sadra.
One question. With Europe in focus, do you see your own LinkedIn doing any of the market-entry work?
Or is that all sales and partnerships?</t>
        </is>
      </c>
      <c r="V4" s="7" t="inlineStr">
        <is>
          <t>a UK-only framing, the last post being 17 months ago, and a content line on marketplace payments for EU platforms.</t>
        </is>
      </c>
      <c r="W4" s="7" t="inlineStr">
        <is>
          <t>UK. Plain and understated. "Might be useful" over "huge opportunity".</t>
        </is>
      </c>
    </row>
    <row r="5" ht="96" customHeight="1">
      <c r="A5" s="7" t="inlineStr">
        <is>
          <t>G004</t>
        </is>
      </c>
      <c r="B5" s="7" t="inlineStr">
        <is>
          <t>01</t>
        </is>
      </c>
      <c r="C5" s="7" t="inlineStr">
        <is>
          <t>2026-09-22</t>
        </is>
      </c>
      <c r="D5" s="7" t="inlineStr">
        <is>
          <t>Erin Kelly</t>
        </is>
      </c>
      <c r="E5" s="7" t="inlineStr">
        <is>
          <t>Co-founder &amp; CEO</t>
        </is>
      </c>
      <c r="F5" s="7" t="inlineStr">
        <is>
          <t>askpolly</t>
        </is>
      </c>
      <c r="G5" s="7" t="inlineStr">
        <is>
          <t>Canada</t>
        </is>
      </c>
      <c r="H5" s="7" t="inlineStr"/>
      <c r="I5" s="8" t="inlineStr">
        <is>
          <t>https://www.linkedin.com/in/erinottawa</t>
        </is>
      </c>
      <c r="J5" s="9" t="inlineStr">
        <is>
          <t>Yes</t>
        </is>
      </c>
      <c r="K5" s="7" t="inlineStr">
        <is>
          <t>$3M seed led by Differential Ventures (with The 98 and Forum Ventures), Sep 2026, to grow go-to-market in the US. askpolly grew out of Advanced Symbolics and turns social media conversations into market research.</t>
        </is>
      </c>
      <c r="L5" s="7" t="inlineStr">
        <is>
          <t>2026-09</t>
        </is>
      </c>
      <c r="M5" s="7" t="inlineStr"/>
      <c r="N5" s="7" t="inlineStr">
        <is>
          <t>Went quiet</t>
        </is>
      </c>
      <c r="O5" s="7" t="inlineStr">
        <is>
          <t>2024-06</t>
        </is>
      </c>
      <c r="P5" s="7" t="inlineStr">
        <is>
          <t>went quiet. Sporadic posts (a hotel-industry marketing post, Jun 2024), and the company ran its own webinars and an AMA.</t>
        </is>
      </c>
      <c r="Q5" s="7" t="n">
        <v>60</v>
      </c>
      <c r="R5" s="7">
        <f>IF(Q5&gt;=60,"Priority",IF(Q5&gt;=40,"Warm","Nurture"))</f>
        <v/>
      </c>
      <c r="S5" s="7" t="inlineStr">
        <is>
          <t>US buyers don't know her yet. One askpolly insight post a week would work as both content and product demo.</t>
        </is>
      </c>
      <c r="T5" s="7" t="inlineStr">
        <is>
          <t>Hi Erin, congrats on the seed and the US push.
Turning social conversations into valid research is a smart angle.
Would be good to connect.</t>
        </is>
      </c>
      <c r="U5" s="7" t="inlineStr">
        <is>
          <t>Thanks for connecting, Erin.
Honest question. askpolly surfaces the kind of insight that does really well on LinkedIn.
Have you thought about posting some of it under your own name for the US market?</t>
        </is>
      </c>
      <c r="V5" s="7" t="inlineStr">
        <is>
          <t>a profile framed around Ottawa and Canada, no featured insight or demo, and a weekly "what people are actually saying about X" format.</t>
        </is>
      </c>
      <c r="W5" s="7" t="inlineStr">
        <is>
          <t>Canada. Polite and practical. If you email, CASL applies: it must be relevant to her role and include an unsubscribe. CASL applies to email</t>
        </is>
      </c>
    </row>
    <row r="6" ht="96" customHeight="1">
      <c r="A6" s="7" t="inlineStr">
        <is>
          <t>G005</t>
        </is>
      </c>
      <c r="B6" s="7" t="inlineStr">
        <is>
          <t>01</t>
        </is>
      </c>
      <c r="C6" s="7" t="inlineStr">
        <is>
          <t>2026-09-22</t>
        </is>
      </c>
      <c r="D6" s="7" t="inlineStr">
        <is>
          <t>Radhika Patil</t>
        </is>
      </c>
      <c r="E6" s="7" t="inlineStr">
        <is>
          <t>Co-founder &amp; CEO</t>
        </is>
      </c>
      <c r="F6" s="7" t="inlineStr">
        <is>
          <t>Cradlewise</t>
        </is>
      </c>
      <c r="G6" s="7" t="inlineStr">
        <is>
          <t>US</t>
        </is>
      </c>
      <c r="H6" s="7" t="inlineStr"/>
      <c r="I6" s="8" t="inlineStr">
        <is>
          <t>https://www.linkedin.com/in/radhika-gandhi-patil</t>
        </is>
      </c>
      <c r="J6" s="9" t="inlineStr">
        <is>
          <t>Yes</t>
        </is>
      </c>
      <c r="K6" s="7" t="inlineStr">
        <is>
          <t>$12M Series A led by 3one4 Capital and Prudent, Sep 2026, for channel expansion, R&amp;D and international markets. She's on the Forbes Technology Council.</t>
        </is>
      </c>
      <c r="L6" s="7" t="inlineStr">
        <is>
          <t>2026-09</t>
        </is>
      </c>
      <c r="M6" s="7" t="inlineStr"/>
      <c r="N6" s="7" t="inlineStr">
        <is>
          <t>Milestone-only</t>
        </is>
      </c>
      <c r="O6" s="7" t="inlineStr">
        <is>
          <t>2023-06</t>
        </is>
      </c>
      <c r="P6" s="7" t="inlineStr">
        <is>
          <t>milestone-only, and silent recently. Indexed posts: product design award (2019), $7M raise (Nov 2021), US team growth (Apr 2022), #startupstories (Jun 2023). Nothing indexed since mid-2023.</t>
        </is>
      </c>
      <c r="Q6" s="7" t="n">
        <v>60</v>
      </c>
      <c r="R6" s="7">
        <f>IF(Q6&gt;=60,"Priority",IF(Q6&gt;=40,"Warm","Nurture"))</f>
        <v/>
      </c>
      <c r="S6" s="7" t="inlineStr">
        <is>
          <t>a consumer hardware brand entering new markets. Her public voice builds retail partner and parent trust.</t>
        </is>
      </c>
      <c r="T6" s="7" t="inlineStr">
        <is>
          <t>Hi Radhika, congrats on the Series A.
Cradlewise has been one of the more thoughtful hardware stories out of the India-US corridor.
Would be good to connect.</t>
        </is>
      </c>
      <c r="U6" s="7" t="inlineStr">
        <is>
          <t>Thanks for connecting, Radhika.
Quick one. With new channels and markets coming, do you want your own LinkedIn doing some of that trust-building?
Or is it mostly a press and product-led push?</t>
        </is>
      </c>
      <c r="V6" s="7" t="inlineStr">
        <is>
          <t>activity gap since 2023, a featured section that doesn't reflect the Series A, and a content line on sleep science plus building hardware across two countries.</t>
        </is>
      </c>
      <c r="W6" s="7" t="inlineStr">
        <is>
          <t>US, based in SF, with an India connection. Be direct but warm.</t>
        </is>
      </c>
    </row>
    <row r="7" ht="96" customHeight="1">
      <c r="A7" s="7" t="inlineStr">
        <is>
          <t>G006</t>
        </is>
      </c>
      <c r="B7" s="7" t="inlineStr">
        <is>
          <t>01</t>
        </is>
      </c>
      <c r="C7" s="7" t="inlineStr">
        <is>
          <t>2026-09-22</t>
        </is>
      </c>
      <c r="D7" s="7" t="inlineStr">
        <is>
          <t>Shourya Agarwal</t>
        </is>
      </c>
      <c r="E7" s="7" t="inlineStr">
        <is>
          <t>Founder &amp; CEO</t>
        </is>
      </c>
      <c r="F7" s="7" t="inlineStr">
        <is>
          <t>Flam</t>
        </is>
      </c>
      <c r="G7" s="7" t="inlineStr">
        <is>
          <t>US/India</t>
        </is>
      </c>
      <c r="H7" s="7" t="inlineStr"/>
      <c r="I7" s="8" t="inlineStr">
        <is>
          <t>https://www.linkedin.com/in/shourya-agarwal-015947b5</t>
        </is>
      </c>
      <c r="J7" s="9" t="inlineStr">
        <is>
          <t>Yes</t>
        </is>
      </c>
      <c r="K7" s="7" t="inlineStr">
        <is>
          <t>$40M Series B led by QED Investors, Sep 2026, with Olivier Pomel, Martin Chavez and Shah Rukh Khan among the backers.</t>
        </is>
      </c>
      <c r="L7" s="7" t="inlineStr">
        <is>
          <t>2026-09</t>
        </is>
      </c>
      <c r="M7" s="7" t="inlineStr"/>
      <c r="N7" s="7" t="inlineStr">
        <is>
          <t>Company-news voice</t>
        </is>
      </c>
      <c r="O7" s="7" t="inlineStr">
        <is>
          <t>2025-06</t>
        </is>
      </c>
      <c r="P7" s="7" t="inlineStr">
        <is>
          <t>company-news voice. Regular posts through mid-2025 about customer wins (Aditya Birla Capital, Axis Max Life, Salesforce, Business Today), each one a logo announcement. Last indexed Jun 2025.</t>
        </is>
      </c>
      <c r="Q7" s="7" t="n">
        <v>60</v>
      </c>
      <c r="R7" s="7">
        <f>IF(Q7&gt;=60,"Priority",IF(Q7&gt;=40,"Warm","Nurture"))</f>
        <v/>
      </c>
      <c r="S7" s="7" t="inlineStr">
        <is>
          <t>the buyers are CMOs, and they follow people. A point of view on "content people interact with" fits his product exactly.</t>
        </is>
      </c>
      <c r="T7" s="7" t="inlineStr">
        <is>
          <t>Hi Shourya, congrats on the Series B.
The Salesforce and Axis Max Life rollouts on Flam were interesting to follow.
Would be good to connect.</t>
        </is>
      </c>
      <c r="U7" s="7" t="inlineStr">
        <is>
          <t>Thanks for connecting, Shourya.
Curious, with the US push, do you see your own LinkedIn as part of how CMOs discover Flam?
Right now the posts are mostly launches, which undersells the thinking behind it.</t>
        </is>
      </c>
      <c r="V7" s="7" t="inlineStr">
        <is>
          <t>all posts are announcements, no view of his own on the future of brand content, and no US-facing framing.</t>
        </is>
      </c>
      <c r="W7" s="7" t="inlineStr">
        <is>
          <t>SF and Bengaluru. Use a US-direct tone and offer IST or PT slots.</t>
        </is>
      </c>
    </row>
    <row r="8" ht="96" customHeight="1">
      <c r="A8" s="7" t="inlineStr">
        <is>
          <t>G007</t>
        </is>
      </c>
      <c r="B8" s="7" t="inlineStr">
        <is>
          <t>01</t>
        </is>
      </c>
      <c r="C8" s="7" t="inlineStr">
        <is>
          <t>2026-09-22</t>
        </is>
      </c>
      <c r="D8" s="7" t="inlineStr">
        <is>
          <t>Jagnoor Singh</t>
        </is>
      </c>
      <c r="E8" s="7" t="inlineStr">
        <is>
          <t>CEO</t>
        </is>
      </c>
      <c r="F8" s="7" t="inlineStr">
        <is>
          <t>Practo</t>
        </is>
      </c>
      <c r="G8" s="7" t="inlineStr">
        <is>
          <t>India</t>
        </is>
      </c>
      <c r="H8" s="7" t="inlineStr"/>
      <c r="I8" s="8" t="inlineStr">
        <is>
          <t>https://www.linkedin.com/in/jagnoors</t>
        </is>
      </c>
      <c r="J8" s="9" t="inlineStr">
        <is>
          <t>Yes</t>
        </is>
      </c>
      <c r="K8" s="7" t="inlineStr">
        <is>
          <t>named CEO effective 1 Sep 2026, after joining as COO in Jan 2025. Previously held senior roles at Airtel, Unacademy and OYO. Practo reports 40% growth and has been profitable for 2.5 years.</t>
        </is>
      </c>
      <c r="L8" s="7" t="inlineStr">
        <is>
          <t>2026-09</t>
        </is>
      </c>
      <c r="M8" s="7" t="inlineStr"/>
      <c r="N8" s="7" t="inlineStr">
        <is>
          <t>Emerging writer</t>
        </is>
      </c>
      <c r="O8" s="7" t="inlineStr">
        <is>
          <t>2026-07</t>
        </is>
      </c>
      <c r="P8" s="7" t="inlineStr">
        <is>
          <t>emerging writer. Original leadership and health posts roughly every quarter: #growprofitably (Feb 2025, 56 comments), preventive health (Apr 2026), "Firm in meetings, approachable outside" (Jul 2026).</t>
        </is>
      </c>
      <c r="Q8" s="7" t="n">
        <v>50</v>
      </c>
      <c r="R8" s="7">
        <f>IF(Q8&gt;=60,"Priority",IF(Q8&gt;=40,"Warm","Nurture"))</f>
        <v/>
      </c>
      <c r="S8" s="7" t="inlineStr">
        <is>
          <t>building a CEO voice distinct from the founder's.</t>
        </is>
      </c>
      <c r="T8" s="7" t="inlineStr">
        <is>
          <t>Hi Jagnoor, congrats on the CEO role.
Saw your post on being firm in meetings and approachable outside. [one line on why it landed]
Would be good to connect.</t>
        </is>
      </c>
      <c r="U8" s="7" t="inlineStr">
        <is>
          <t>Thanks for connecting, Jagnoor.
The first months in a CEO seat are when people decide what you stand for.
Is LinkedIn part of how you want to set that, or more of a side channel?</t>
        </is>
      </c>
      <c r="V8" s="7" t="inlineStr">
        <is>
          <t>a headline still in COO mode (check this), no CEO narrative yet, and a cadence of one post a quarter against a potential of one a week.</t>
        </is>
      </c>
      <c r="W8" s="7" t="inlineStr">
        <is>
          <t>same company as lead 19. Message Jagnoor first. Don't contact Shashank in the same week. If Jagnoor replies, the pitch can grow into a leadership pair (founder plus CEO). Contact before Shashank ND</t>
        </is>
      </c>
    </row>
    <row r="9" ht="96" customHeight="1">
      <c r="A9" s="7" t="inlineStr">
        <is>
          <t>G008</t>
        </is>
      </c>
      <c r="B9" s="7" t="inlineStr">
        <is>
          <t>01</t>
        </is>
      </c>
      <c r="C9" s="7" t="inlineStr">
        <is>
          <t>2026-09-22</t>
        </is>
      </c>
      <c r="D9" s="7" t="inlineStr">
        <is>
          <t>Madhulima Tewari</t>
        </is>
      </c>
      <c r="E9" s="7" t="inlineStr">
        <is>
          <t>CEO</t>
        </is>
      </c>
      <c r="F9" s="7" t="inlineStr">
        <is>
          <t>VerifAIX</t>
        </is>
      </c>
      <c r="G9" s="7" t="inlineStr">
        <is>
          <t>India/US</t>
        </is>
      </c>
      <c r="H9" s="7" t="inlineStr"/>
      <c r="I9" s="8" t="inlineStr">
        <is>
          <t>https://www.linkedin.com/in/maddietewari</t>
        </is>
      </c>
      <c r="J9" s="9" t="inlineStr">
        <is>
          <t>Yes</t>
        </is>
      </c>
      <c r="K9" s="7" t="inlineStr">
        <is>
          <t>$5M seed co-led by Endiya Partners and Bluehill VC, Sep 2026, for product, customer deployments and engineering hires. Co-founders are Kenneth Roe and Avner Landver.</t>
        </is>
      </c>
      <c r="L9" s="7" t="inlineStr">
        <is>
          <t>2026-09</t>
        </is>
      </c>
      <c r="M9" s="7" t="inlineStr"/>
      <c r="N9" s="7" t="inlineStr">
        <is>
          <t>Milestone-only</t>
        </is>
      </c>
      <c r="O9" s="7" t="inlineStr">
        <is>
          <t>2025-10</t>
        </is>
      </c>
      <c r="P9" s="7" t="inlineStr">
        <is>
          <t>milestone-only. The one indexed post is about the RISC-V Summit (Oct 2025).</t>
        </is>
      </c>
      <c r="Q9" s="7" t="n">
        <v>50</v>
      </c>
      <c r="R9" s="7">
        <f>IF(Q9&gt;=60,"Priority",IF(Q9&gt;=40,"Warm","Nurture"))</f>
        <v/>
      </c>
      <c r="S9" s="7" t="inlineStr">
        <is>
          <t>a technical thought-leadership voice to build trust with semiconductor buyers and senior engineers.</t>
        </is>
      </c>
      <c r="T9" s="7" t="inlineStr">
        <is>
          <t>Hi Madhulima, congrats on the seed.
An AI trust layer for chip verification is a real gap. Saw VerifAIX at the RISC-V Summit.
Would be good to connect.</t>
        </is>
      </c>
      <c r="U9" s="7" t="inlineStr">
        <is>
          <t>Thanks for connecting, Madhulima.
In a field this specialised, a few people deciding to trust you matters more than reach.
Is your LinkedIn part of how you reach verification leads, or mostly conferences?</t>
        </is>
      </c>
      <c r="V9" s="7" t="inlineStr">
        <is>
          <t>posts only at events, a profile that doesn't explain VerifAIX in one line, and a content line on verification bottlenecks.</t>
        </is>
      </c>
      <c r="W9" s="7" t="inlineStr">
        <is>
          <t>confirm where she's based before sending (India or US) and set the tone to match. Confirm location</t>
        </is>
      </c>
    </row>
    <row r="10" ht="96" customHeight="1">
      <c r="A10" s="7" t="inlineStr">
        <is>
          <t>G009</t>
        </is>
      </c>
      <c r="B10" s="7" t="inlineStr">
        <is>
          <t>01</t>
        </is>
      </c>
      <c r="C10" s="7" t="inlineStr">
        <is>
          <t>2026-09-22</t>
        </is>
      </c>
      <c r="D10" s="7" t="inlineStr">
        <is>
          <t>Ben Armstrong</t>
        </is>
      </c>
      <c r="E10" s="7" t="inlineStr">
        <is>
          <t>CEO</t>
        </is>
      </c>
      <c r="F10" s="7" t="inlineStr">
        <is>
          <t>Cytix</t>
        </is>
      </c>
      <c r="G10" s="7" t="inlineStr">
        <is>
          <t>UK</t>
        </is>
      </c>
      <c r="H10" s="7" t="inlineStr"/>
      <c r="I10" s="8" t="inlineStr">
        <is>
          <t>https://www.linkedin.com/in/benarmstrong2</t>
        </is>
      </c>
      <c r="J10" s="9" t="inlineStr">
        <is>
          <t>Yes</t>
        </is>
      </c>
      <c r="K10" s="7" t="inlineStr">
        <is>
          <t>$7M (£5M) Series A led by Northern Gritstone, Aug 2026. He speaks at the Cyber Leaders' Summit.</t>
        </is>
      </c>
      <c r="L10" s="7" t="inlineStr">
        <is>
          <t>2026-08</t>
        </is>
      </c>
      <c r="M10" s="7" t="inlineStr"/>
      <c r="N10" s="7" t="inlineStr">
        <is>
          <t>Went quiet</t>
        </is>
      </c>
      <c r="O10" s="7" t="inlineStr">
        <is>
          <t>2024-09</t>
        </is>
      </c>
      <c r="P10" s="7" t="inlineStr">
        <is>
          <t>went quiet. He used to post with personality in 2022 and 2023 ("We did it again!" with 29 comments, a post on why consultancies struggle with day rates, video content). Last indexed own post Sep 2024. The Series A was posted by Soapbox VC, not by him.</t>
        </is>
      </c>
      <c r="Q10" s="7" t="n">
        <v>50</v>
      </c>
      <c r="R10" s="7">
        <f>IF(Q10&gt;=60,"Priority",IF(Q10&gt;=40,"Warm","Nurture"))</f>
        <v/>
      </c>
      <c r="S10" s="7" t="inlineStr">
        <is>
          <t>bring back what worked, a candid take on security testing, on a steady cadence.</t>
        </is>
      </c>
      <c r="T10" s="7" t="inlineStr">
        <is>
          <t>Hi Ben, congrats on the Series A.
Came across your post on why consultancies struggle to drop the day rate. Still a live problem.
Would be good to connect.</t>
        </is>
      </c>
      <c r="U10" s="7" t="inlineStr">
        <is>
          <t>Thanks for connecting, Ben.
You used to post a fair bit, then it went quiet. Totally normal while building.
Is getting back to it on the list now the round's done?</t>
        </is>
      </c>
      <c r="V10" s="7" t="inlineStr">
        <is>
          <t>a 2-year gap, the Series A story told by others, and a content line on AI-driven software change risk.</t>
        </is>
      </c>
      <c r="W10" s="7" t="inlineStr">
        <is>
          <t>UK, and North of England. Keep it low-key and skip the hype words.</t>
        </is>
      </c>
    </row>
    <row r="11" ht="96" customHeight="1">
      <c r="A11" s="7" t="inlineStr">
        <is>
          <t>G010</t>
        </is>
      </c>
      <c r="B11" s="7" t="inlineStr">
        <is>
          <t>01</t>
        </is>
      </c>
      <c r="C11" s="7" t="inlineStr">
        <is>
          <t>2026-09-22</t>
        </is>
      </c>
      <c r="D11" s="7" t="inlineStr">
        <is>
          <t>Theo Saville</t>
        </is>
      </c>
      <c r="E11" s="7" t="inlineStr">
        <is>
          <t>Co-founder &amp; CEO</t>
        </is>
      </c>
      <c r="F11" s="7" t="inlineStr">
        <is>
          <t>CloudNC</t>
        </is>
      </c>
      <c r="G11" s="7" t="inlineStr">
        <is>
          <t>UK</t>
        </is>
      </c>
      <c r="H11" s="7" t="inlineStr"/>
      <c r="I11" s="8" t="inlineStr">
        <is>
          <t>https://www.linkedin.com/in/theosaville</t>
        </is>
      </c>
      <c r="J11" s="9" t="inlineStr">
        <is>
          <t>Yes</t>
        </is>
      </c>
      <c r="K11" s="7" t="inlineStr">
        <is>
          <t>€17.2M to scale AI-powered precision machining, Sep 2026.</t>
        </is>
      </c>
      <c r="L11" s="7" t="inlineStr">
        <is>
          <t>2026-09</t>
        </is>
      </c>
      <c r="M11" s="7" t="inlineStr"/>
      <c r="N11" s="7" t="inlineStr">
        <is>
          <t>Went quiet</t>
        </is>
      </c>
      <c r="O11" s="7" t="inlineStr">
        <is>
          <t>2024-02</t>
        </is>
      </c>
      <c r="P11" s="7" t="inlineStr">
        <is>
          <t>went quiet after a strong run. 2023 was good: a "story of CloudNC" series, "Stealth mode: is it worth it?", CAM Assist at EMO, and a post from the CNC community on Reddit (Feb 2024). The company page now carries it (a drone tour of the factory, podcast clips).</t>
        </is>
      </c>
      <c r="Q11" s="7" t="n">
        <v>50</v>
      </c>
      <c r="R11" s="7">
        <f>IF(Q11&gt;=60,"Priority",IF(Q11&gt;=40,"Warm","Nurture"))</f>
        <v/>
      </c>
      <c r="S11" s="7" t="inlineStr">
        <is>
          <t>restart the founder series. Machinists, manufacturers and investors all respond to him directly.</t>
        </is>
      </c>
      <c r="T11" s="7" t="inlineStr">
        <is>
          <t>Hi Theo, congrats on the new round.
Went back through your "story of CloudNC" posts from 2023. [one line on the part that stuck]
Would be good to connect.</t>
        </is>
      </c>
      <c r="U11" s="7" t="inlineStr">
        <is>
          <t>Thanks for connecting, Theo.
Honest question. Those 2023 posts clearly worked, then the feed went to the company page.
Was that a deliberate call or just time?</t>
        </is>
      </c>
      <c r="V11" s="7" t="inlineStr">
        <is>
          <t>a 2.5-year gap on his own feed, the company page doing work his voice did better, and a restart plan (the factory, machinists, the Reddit community).</t>
        </is>
      </c>
      <c r="W11" s="7" t="inlineStr">
        <is>
          <t>UK. Direct and specific. He'll spot generic copy immediately. Check for in-house marketing</t>
        </is>
      </c>
    </row>
    <row r="12" ht="96" customHeight="1">
      <c r="A12" s="7" t="inlineStr">
        <is>
          <t>G011</t>
        </is>
      </c>
      <c r="B12" s="7" t="inlineStr">
        <is>
          <t>01</t>
        </is>
      </c>
      <c r="C12" s="7" t="inlineStr">
        <is>
          <t>2026-09-22</t>
        </is>
      </c>
      <c r="D12" s="7" t="inlineStr">
        <is>
          <t>Adrian Murray</t>
        </is>
      </c>
      <c r="E12" s="7" t="inlineStr">
        <is>
          <t>Founder &amp; CEO</t>
        </is>
      </c>
      <c r="F12" s="7" t="inlineStr">
        <is>
          <t>Fisent Technologies</t>
        </is>
      </c>
      <c r="G12" s="7" t="inlineStr">
        <is>
          <t>Canada</t>
        </is>
      </c>
      <c r="H12" s="7" t="inlineStr"/>
      <c r="I12" s="8" t="inlineStr">
        <is>
          <t>https://www.linkedin.com/in/adrianmurrray</t>
        </is>
      </c>
      <c r="J12" s="9" t="inlineStr">
        <is>
          <t>Yes</t>
        </is>
      </c>
      <c r="K12" s="7" t="inlineStr">
        <is>
          <t>$4.3M raise, Aug to Sep 2026. Toronto, GenAI process automation ("BizAI").</t>
        </is>
      </c>
      <c r="L12" s="7" t="inlineStr">
        <is>
          <t>2026-08</t>
        </is>
      </c>
      <c r="M12" s="7" t="inlineStr"/>
      <c r="N12" s="7" t="inlineStr">
        <is>
          <t>Milestone-only</t>
        </is>
      </c>
      <c r="O12" s="7" t="inlineStr">
        <is>
          <t>2025-06</t>
        </is>
      </c>
      <c r="P12" s="7" t="inlineStr">
        <is>
          <t>milestone-only. Company announcements from 2024 to 2025 ("growing fast", "successfully completes"), and others interviewing him (Pulse 2.0 in 2025, LaunchPad in May 2026). Last indexed own post Jun 2025.</t>
        </is>
      </c>
      <c r="Q12" s="7" t="n">
        <v>50</v>
      </c>
      <c r="R12" s="7">
        <f>IF(Q12&gt;=60,"Priority",IF(Q12&gt;=40,"Warm","Nurture"))</f>
        <v/>
      </c>
      <c r="S12" s="7" t="inlineStr">
        <is>
          <t>turn the interview material into his own weekly posts for enterprise ops and finance buyers.</t>
        </is>
      </c>
      <c r="T12" s="7" t="inlineStr">
        <is>
          <t>Hi Adrian, congrats on the raise.
The outcomes-as-a-service framing for GenAI automation is a sharp one.
Would be good to connect.</t>
        </is>
      </c>
      <c r="U12" s="7" t="inlineStr">
        <is>
          <t>Thanks for connecting, Adrian.
Other people keep telling Fisent's story in interviews. Your own feed doesn't yet.
Is that something you'd want to change this year?</t>
        </is>
      </c>
      <c r="V12" s="7" t="inlineStr">
        <is>
          <t>interviews not reused as posts, a headline without the buyer outcome, and the gap since Jun 2025.</t>
        </is>
      </c>
      <c r="W12" s="7" t="inlineStr">
        <is>
          <t>Canada, Toronto. Polite and practical.</t>
        </is>
      </c>
    </row>
    <row r="13" ht="96" customHeight="1">
      <c r="A13" s="7" t="inlineStr">
        <is>
          <t>G012</t>
        </is>
      </c>
      <c r="B13" s="7" t="inlineStr">
        <is>
          <t>01</t>
        </is>
      </c>
      <c r="C13" s="7" t="inlineStr">
        <is>
          <t>2026-09-22</t>
        </is>
      </c>
      <c r="D13" s="7" t="inlineStr">
        <is>
          <t>Raghav Midha</t>
        </is>
      </c>
      <c r="E13" s="7" t="inlineStr">
        <is>
          <t>Co-founder &amp; CEO</t>
        </is>
      </c>
      <c r="F13" s="7" t="inlineStr">
        <is>
          <t>Terminal</t>
        </is>
      </c>
      <c r="G13" s="7" t="inlineStr">
        <is>
          <t>Canada</t>
        </is>
      </c>
      <c r="H13" s="7" t="inlineStr"/>
      <c r="I13" s="8" t="inlineStr">
        <is>
          <t>https://www.linkedin.com/in/raghavmidha</t>
        </is>
      </c>
      <c r="J13" s="9" t="inlineStr">
        <is>
          <t>Yes</t>
        </is>
      </c>
      <c r="K13" s="7" t="inlineStr">
        <is>
          <t>$20M Series A, Jul 2026. YC S23, a telematics data API for trucking.</t>
        </is>
      </c>
      <c r="L13" s="7" t="inlineStr">
        <is>
          <t>2026-07</t>
        </is>
      </c>
      <c r="M13" s="7" t="inlineStr"/>
      <c r="N13" s="7" t="inlineStr">
        <is>
          <t>Company-news voice</t>
        </is>
      </c>
      <c r="O13" s="7" t="inlineStr">
        <is>
          <t>2025-10</t>
        </is>
      </c>
      <c r="P13" s="7" t="inlineStr">
        <is>
          <t>company-news voice. Indexed posts are hiring and job posts (Chief of Staff Jul 2024, jobs Mar 2025, engineers Oct 2025).</t>
        </is>
      </c>
      <c r="Q13" s="7" t="n">
        <v>50</v>
      </c>
      <c r="R13" s="7">
        <f>IF(Q13&gt;=60,"Priority",IF(Q13&gt;=40,"Warm","Nurture"))</f>
        <v/>
      </c>
      <c r="S13" s="7" t="inlineStr">
        <is>
          <t>a founder brand as a recruiting engine, plus credibility with fleet and logistics buyers.</t>
        </is>
      </c>
      <c r="T13" s="7" t="inlineStr">
        <is>
          <t>Hi Raghav, congrats on the Series A.
Telematics integration is unglamorous and really important. Following Terminal.
Would be good to connect.</t>
        </is>
      </c>
      <c r="U13" s="7" t="inlineStr">
        <is>
          <t>Thanks for connecting, Raghav.
I noticed your posts are mostly hiring. Makes sense.
Have you tried writing about the problem itself? It tends to pull better engineers than job posts do.</t>
        </is>
      </c>
      <c r="V13" s="7" t="inlineStr">
        <is>
          <t>job posts only, no view of his own on trucking data, and a technical-founder content line for recruiting.</t>
        </is>
      </c>
      <c r="W13" s="7" t="inlineStr">
        <is>
          <t>Canada, Toronto, with a US and YC audience. Short and direct.</t>
        </is>
      </c>
    </row>
    <row r="14" ht="96" customHeight="1">
      <c r="A14" s="7" t="inlineStr">
        <is>
          <t>G013</t>
        </is>
      </c>
      <c r="B14" s="7" t="inlineStr">
        <is>
          <t>01</t>
        </is>
      </c>
      <c r="C14" s="7" t="inlineStr">
        <is>
          <t>2026-09-22</t>
        </is>
      </c>
      <c r="D14" s="7" t="inlineStr">
        <is>
          <t>Doug Schweitzer</t>
        </is>
      </c>
      <c r="E14" s="7" t="inlineStr">
        <is>
          <t>CEO &amp; co-founder</t>
        </is>
      </c>
      <c r="F14" s="7" t="inlineStr">
        <is>
          <t>Ultimarii</t>
        </is>
      </c>
      <c r="G14" s="7" t="inlineStr">
        <is>
          <t>Canada</t>
        </is>
      </c>
      <c r="H14" s="7" t="inlineStr"/>
      <c r="I14" s="8" t="inlineStr">
        <is>
          <t>https://www.linkedin.com/in/doug-schweitzer-573a443b</t>
        </is>
      </c>
      <c r="J14" s="9" t="inlineStr">
        <is>
          <t>Yes</t>
        </is>
      </c>
      <c r="K14" s="7" t="inlineStr">
        <is>
          <t>Series A of more than $13M CAD led by BDC's Industrial Innovation Venture Fund, Sep 2026. Calgary, regulatory AI for infrastructure approvals. He's a former Alberta innovation minister and co-founded Blue Rock Law.</t>
        </is>
      </c>
      <c r="L14" s="7" t="inlineStr">
        <is>
          <t>2026-09</t>
        </is>
      </c>
      <c r="M14" s="7" t="inlineStr"/>
      <c r="N14" s="7" t="inlineStr">
        <is>
          <t>Went quiet</t>
        </is>
      </c>
      <c r="O14" s="7" t="inlineStr">
        <is>
          <t>2024-01</t>
        </is>
      </c>
      <c r="P14" s="7" t="inlineStr">
        <is>
          <t>went quiet. From 2022 to 2024 he mostly shared news links about the Alberta economy (IBM Calgary with 42 comments, oil and gas labour with 39 comments). Last indexed Jan 2024. The Ultimarii page carries the company voice now.</t>
        </is>
      </c>
      <c r="Q14" s="7" t="n">
        <v>50</v>
      </c>
      <c r="R14" s="7">
        <f>IF(Q14&gt;=60,"Priority",IF(Q14&gt;=40,"Warm","Nurture"))</f>
        <v/>
      </c>
      <c r="S14" s="7" t="inlineStr">
        <is>
          <t>move from minister and lawyer to AI infrastructure founder. The audience is energy and infrastructure executives and regulators.</t>
        </is>
      </c>
      <c r="T14" s="7" t="inlineStr">
        <is>
          <t>Hi Doug, congrats on the Ultimarii Series A.
Speeding up infrastructure approvals is one of the more practical uses of AI I've seen.
Would be good to connect.</t>
        </is>
      </c>
      <c r="U14" s="7" t="inlineStr">
        <is>
          <t>Thanks for connecting, Doug.
People know you from your years in government. Fewer know you as a founder yet.
Is shifting that part of the plan for this year?</t>
        </is>
      </c>
      <c r="V14" s="7" t="inlineStr">
        <is>
          <t>posts are shared articles rather than his own view, the positioning is still political and legal, and a founder narrative on approvals and energy projects.</t>
        </is>
      </c>
      <c r="W14" s="7" t="inlineStr">
        <is>
          <t>Canada, Alberta. Respectful. He likely has advisers, so expect a gatekeeper. Former Alberta minister</t>
        </is>
      </c>
    </row>
    <row r="15" ht="96" customHeight="1">
      <c r="A15" s="7" t="inlineStr">
        <is>
          <t>G014</t>
        </is>
      </c>
      <c r="B15" s="7" t="inlineStr">
        <is>
          <t>01</t>
        </is>
      </c>
      <c r="C15" s="7" t="inlineStr">
        <is>
          <t>2026-09-22</t>
        </is>
      </c>
      <c r="D15" s="7" t="inlineStr">
        <is>
          <t>Gabriel Rivest</t>
        </is>
      </c>
      <c r="E15" s="7" t="inlineStr">
        <is>
          <t>CEO &amp; co-founder</t>
        </is>
      </c>
      <c r="F15" s="7" t="inlineStr">
        <is>
          <t>Scopia Surgical</t>
        </is>
      </c>
      <c r="G15" s="7" t="inlineStr">
        <is>
          <t>Canada</t>
        </is>
      </c>
      <c r="H15" s="7" t="inlineStr"/>
      <c r="I15" s="8" t="inlineStr">
        <is>
          <t>https://www.linkedin.com/in/gabriel-rivest-11a019b4</t>
        </is>
      </c>
      <c r="J15" s="9" t="inlineStr">
        <is>
          <t>Yes</t>
        </is>
      </c>
      <c r="K15" s="7" t="inlineStr">
        <is>
          <t>$2.65M CAD pre-seed co-led by Linearis Ventures and Anges Québec, Sep 2026. Montreal, AI surgical navigation.</t>
        </is>
      </c>
      <c r="L15" s="7" t="inlineStr">
        <is>
          <t>2026-09</t>
        </is>
      </c>
      <c r="M15" s="7" t="inlineStr"/>
      <c r="N15" s="7" t="inlineStr">
        <is>
          <t>Milestone-only</t>
        </is>
      </c>
      <c r="O15" s="7" t="inlineStr">
        <is>
          <t>2026-09-04</t>
        </is>
      </c>
      <c r="P15" s="7" t="inlineStr">
        <is>
          <t>milestone-only, but active right now. A vision post (Feb 2025) and the funding post (4 Sep 2026). This is the only lead confirmed active in the last 30 days.</t>
        </is>
      </c>
      <c r="Q15" s="7" t="n">
        <v>50</v>
      </c>
      <c r="R15" s="7">
        <f>IF(Q15&gt;=60,"Priority",IF(Q15&gt;=40,"Warm","Nurture"))</f>
        <v/>
      </c>
      <c r="S15" s="7" t="inlineStr">
        <is>
          <t>building credibility with clinicians and partners ahead of trials, with bilingual content.</t>
        </is>
      </c>
      <c r="T15" s="7" t="inlineStr">
        <is>
          <t>Hi Gabriel, congrats on closing the pre-seed.
Real-time navigation for robotic surgery is a big bet. Following Scopia.
Would be good to connect.</t>
        </is>
      </c>
      <c r="U15" s="7" t="inlineStr">
        <is>
          <t>Thanks for connecting, Gabriel.
In medtech, surgeons and partners tend to check the founder before the product.
Is building that voice something you're planning, in French, English or both?</t>
        </is>
      </c>
      <c r="V15" s="7" t="inlineStr">
        <is>
          <t>posts only at milestones, the profile language (FR vs EN), and a clinician-facing content line.</t>
        </is>
      </c>
      <c r="W15" s="7" t="inlineStr">
        <is>
          <t>Quebec. Offer French. Polite and practical. Active last 30 days; offer French</t>
        </is>
      </c>
    </row>
    <row r="16" ht="96" customHeight="1">
      <c r="A16" s="7" t="inlineStr">
        <is>
          <t>G015</t>
        </is>
      </c>
      <c r="B16" s="7" t="inlineStr">
        <is>
          <t>01</t>
        </is>
      </c>
      <c r="C16" s="7" t="inlineStr">
        <is>
          <t>2026-09-22</t>
        </is>
      </c>
      <c r="D16" s="7" t="inlineStr">
        <is>
          <t>David Lighton</t>
        </is>
      </c>
      <c r="E16" s="7" t="inlineStr">
        <is>
          <t>Founder &amp; CEO</t>
        </is>
      </c>
      <c r="F16" s="7" t="inlineStr">
        <is>
          <t>Diameter Pay</t>
        </is>
      </c>
      <c r="G16" s="7" t="inlineStr">
        <is>
          <t>US</t>
        </is>
      </c>
      <c r="H16" s="7" t="inlineStr"/>
      <c r="I16" s="8" t="inlineStr">
        <is>
          <t>https://www.linkedin.com/in/david-lighton-b027a917</t>
        </is>
      </c>
      <c r="J16" s="9" t="inlineStr">
        <is>
          <t>Yes</t>
        </is>
      </c>
      <c r="K16" s="7" t="inlineStr">
        <is>
          <t>$10M Series A, Sep 2026. The company was bootstrapped before this round, and processed $300M in payment volume in 2023.</t>
        </is>
      </c>
      <c r="L16" s="7" t="inlineStr">
        <is>
          <t>2026-09</t>
        </is>
      </c>
      <c r="M16" s="7" t="inlineStr"/>
      <c r="N16" s="7" t="inlineStr">
        <is>
          <t>Went quiet</t>
        </is>
      </c>
      <c r="O16" s="7" t="inlineStr">
        <is>
          <t>2023-07</t>
        </is>
      </c>
      <c r="P16" s="7" t="inlineStr">
        <is>
          <t>went quiet. In 2023 he shared finance and policy articles (de-risking China, Citadel buying into Western Alliance, legacy admissions). Nothing indexed since mid-2023.</t>
        </is>
      </c>
      <c r="Q16" s="7" t="n">
        <v>50</v>
      </c>
      <c r="R16" s="7">
        <f>IF(Q16&gt;=60,"Priority",IF(Q16&gt;=40,"Warm","Nurture"))</f>
        <v/>
      </c>
      <c r="S16" s="7" t="inlineStr">
        <is>
          <t>the bootstrapped-to-Series A story, and a credible voice on stablecoin infrastructure.</t>
        </is>
      </c>
      <c r="T16" s="7" t="inlineStr">
        <is>
          <t>Hi David, congrats on the Series A.
Bootstrapping to that point in payments is rare. Following Diameter.
Would be good to connect.</t>
        </is>
      </c>
      <c r="U16" s="7" t="inlineStr">
        <is>
          <t>Thanks for connecting, David.
You used to share sharp finance and policy reads. Then it went quiet.
Is getting your own view out there part of the plan now that the round is done?</t>
        </is>
      </c>
      <c r="V16" s="7" t="inlineStr">
        <is>
          <t>link shares with no commentary, a 3-year gap, and a content line on stablecoin payments for banks.</t>
        </is>
      </c>
      <c r="W16" s="7" t="inlineStr">
        <is>
          <t>confirm his location (assumed US). Direct and numbers-first. Confirm location</t>
        </is>
      </c>
    </row>
    <row r="17" ht="96" customHeight="1">
      <c r="A17" s="7" t="inlineStr">
        <is>
          <t>G016</t>
        </is>
      </c>
      <c r="B17" s="7" t="inlineStr">
        <is>
          <t>01</t>
        </is>
      </c>
      <c r="C17" s="7" t="inlineStr">
        <is>
          <t>2026-09-22</t>
        </is>
      </c>
      <c r="D17" s="7" t="inlineStr">
        <is>
          <t>Leo Crowe</t>
        </is>
      </c>
      <c r="E17" s="7" t="inlineStr">
        <is>
          <t>Co-founder &amp; CEO</t>
        </is>
      </c>
      <c r="F17" s="7" t="inlineStr">
        <is>
          <t>Souk</t>
        </is>
      </c>
      <c r="G17" s="7" t="inlineStr">
        <is>
          <t>UK</t>
        </is>
      </c>
      <c r="H17" s="7" t="inlineStr"/>
      <c r="I17" s="8" t="inlineStr">
        <is>
          <t>https://www.linkedin.com/in/leo-crowe-457815121</t>
        </is>
      </c>
      <c r="J17" s="9" t="inlineStr">
        <is>
          <t>Yes</t>
        </is>
      </c>
      <c r="K17" s="7" t="inlineStr">
        <is>
          <t>$1.6M pre-seed led by Sure Valley Ventures, with Antler and Fuel Ventures, Sep 2026. London, "Coco", an AI partner manager.</t>
        </is>
      </c>
      <c r="L17" s="7" t="inlineStr">
        <is>
          <t>2026-09</t>
        </is>
      </c>
      <c r="M17" s="7" t="inlineStr"/>
      <c r="N17" s="7" t="inlineStr">
        <is>
          <t>Emerging writer</t>
        </is>
      </c>
      <c r="O17" s="7" t="inlineStr">
        <is>
          <t>2026-04</t>
        </is>
      </c>
      <c r="P17" s="7" t="inlineStr">
        <is>
          <t>emerging writer. Original takes about every 3 months: the Souk launch (Aug 2025), "one consistent problem across every..." (Jan 2026), "I told Souk our own ICP..." (Apr 2026).</t>
        </is>
      </c>
      <c r="Q17" s="7" t="n">
        <v>40</v>
      </c>
      <c r="R17" s="7">
        <f>IF(Q17&gt;=60,"Priority",IF(Q17&gt;=40,"Warm","Nurture"))</f>
        <v/>
      </c>
      <c r="S17" s="7" t="inlineStr">
        <is>
          <t>from quarterly to weekly, without it eating his week.</t>
        </is>
      </c>
      <c r="T17" s="7" t="inlineStr">
        <is>
          <t>Hi Leo, congrats on the pre-seed.
Saw your post on running Souk against its own ICP. [one line on the takeaway]
Would be good to connect.</t>
        </is>
      </c>
      <c r="U17" s="7" t="inlineStr">
        <is>
          <t>Thanks for connecting, Leo.
Your partnership posts are good, they just come every few months.
Is weekly something you'd do if it only took 30 minutes of your time?</t>
        </is>
      </c>
      <c r="V17" s="7" t="inlineStr">
        <is>
          <t>cadence, no featured link to Coco, and one recurring format (the partner-activation playbook).</t>
        </is>
      </c>
      <c r="W17" s="7" t="inlineStr">
        <is>
          <t>UK. Pre-seed budget, so offer a lighter plan or pilot. Pre-seed budget</t>
        </is>
      </c>
    </row>
    <row r="18" ht="96" customHeight="1">
      <c r="A18" s="7" t="inlineStr">
        <is>
          <t>G017</t>
        </is>
      </c>
      <c r="B18" s="7" t="inlineStr">
        <is>
          <t>01</t>
        </is>
      </c>
      <c r="C18" s="7" t="inlineStr">
        <is>
          <t>2026-09-22</t>
        </is>
      </c>
      <c r="D18" s="7" t="inlineStr">
        <is>
          <t>Alex Harland</t>
        </is>
      </c>
      <c r="E18" s="7" t="inlineStr">
        <is>
          <t>Co-founder &amp; CEO</t>
        </is>
      </c>
      <c r="F18" s="7" t="inlineStr">
        <is>
          <t>AI Score</t>
        </is>
      </c>
      <c r="G18" s="7" t="inlineStr">
        <is>
          <t>UK</t>
        </is>
      </c>
      <c r="H18" s="7" t="inlineStr"/>
      <c r="I18" s="8" t="inlineStr">
        <is>
          <t>https://www.linkedin.com/in/alex-harland-a110b0149</t>
        </is>
      </c>
      <c r="J18" s="9" t="inlineStr">
        <is>
          <t>Yes</t>
        </is>
      </c>
      <c r="K18" s="7" t="inlineStr">
        <is>
          <t>€4.6M raise, Sep 2026. London, keeping AI agents under control. He was on the founding team at the UK's NCSC; co-founder Benita Tibb is a former City lawyer.</t>
        </is>
      </c>
      <c r="L18" s="7" t="inlineStr">
        <is>
          <t>2026-09</t>
        </is>
      </c>
      <c r="M18" s="7" t="inlineStr"/>
      <c r="N18" s="7" t="inlineStr">
        <is>
          <t>Emerging writer</t>
        </is>
      </c>
      <c r="O18" s="7" t="inlineStr">
        <is>
          <t>2026-02</t>
        </is>
      </c>
      <c r="P18" s="7" t="inlineStr">
        <is>
          <t>emerging writer. Technical opinion posts about every 6 months: OPA/Rego (Aug 2025), "AI governance does not belong in .pdf" (Feb 2026).</t>
        </is>
      </c>
      <c r="Q18" s="7" t="n">
        <v>40</v>
      </c>
      <c r="R18" s="7">
        <f>IF(Q18&gt;=60,"Priority",IF(Q18&gt;=40,"Warm","Nurture"))</f>
        <v/>
      </c>
      <c r="S18" s="7" t="inlineStr">
        <is>
          <t>category-creation thought leadership.</t>
        </is>
      </c>
      <c r="T18" s="7" t="inlineStr">
        <is>
          <t>Hi Alex, congrats on the round.
"AI governance does not belong in a PDF" is a line more people need to hear.
Would be good to connect.</t>
        </is>
      </c>
      <c r="U18" s="7" t="inlineStr">
        <is>
          <t>Thanks for connecting, Alex.
You've got a clear point of view on AI governance. It shows up about twice a year.
Is building that into a regular voice on the list for AI Score?</t>
        </is>
      </c>
      <c r="V18" s="7" t="inlineStr">
        <is>
          <t>cadence, NCSC credibility not front and centre, and a split between technical and board-level posts.</t>
        </is>
      </c>
      <c r="W18" s="7" t="inlineStr">
        <is>
          <t>UK. Precise and low-hype. Expect security-minded scepticism.</t>
        </is>
      </c>
    </row>
    <row r="19" ht="96" customHeight="1">
      <c r="A19" s="7" t="inlineStr">
        <is>
          <t>G018</t>
        </is>
      </c>
      <c r="B19" s="7" t="inlineStr">
        <is>
          <t>01</t>
        </is>
      </c>
      <c r="C19" s="7" t="inlineStr">
        <is>
          <t>2026-09-22</t>
        </is>
      </c>
      <c r="D19" s="7" t="inlineStr">
        <is>
          <t>Shishir Bankapur</t>
        </is>
      </c>
      <c r="E19" s="7" t="inlineStr">
        <is>
          <t>CEO</t>
        </is>
      </c>
      <c r="F19" s="7" t="inlineStr">
        <is>
          <t>Helogen</t>
        </is>
      </c>
      <c r="G19" s="7" t="inlineStr">
        <is>
          <t>US</t>
        </is>
      </c>
      <c r="H19" s="7" t="inlineStr"/>
      <c r="I19" s="8" t="inlineStr">
        <is>
          <t>https://www.linkedin.com/in/shishir-work</t>
        </is>
      </c>
      <c r="J19" s="9" t="inlineStr">
        <is>
          <t>Yes</t>
        </is>
      </c>
      <c r="K19" s="7" t="inlineStr">
        <is>
          <t>$7.1M seed co-led by RRE Ventures and Oceans, Sep 2026. NYC, space biotech and in-orbit manufacturing.</t>
        </is>
      </c>
      <c r="L19" s="7" t="inlineStr">
        <is>
          <t>2026-09</t>
        </is>
      </c>
      <c r="M19" s="7" t="inlineStr"/>
      <c r="N19" s="7" t="inlineStr">
        <is>
          <t>Emerging writer</t>
        </is>
      </c>
      <c r="O19" s="7" t="inlineStr">
        <is>
          <t>2026-06</t>
        </is>
      </c>
      <c r="P19" s="7" t="inlineStr">
        <is>
          <t>emerging writer. Big-idea posts now and then: the AgResearch partnership (Apr 2025) and "The next industrial revolution isn't on earth" (Jun 2026).</t>
        </is>
      </c>
      <c r="Q19" s="7" t="n">
        <v>40</v>
      </c>
      <c r="R19" s="7">
        <f>IF(Q19&gt;=60,"Priority",IF(Q19&gt;=40,"Warm","Nurture"))</f>
        <v/>
      </c>
      <c r="S19" s="7" t="inlineStr">
        <is>
          <t>an explainer-led founder voice.</t>
        </is>
      </c>
      <c r="T19" s="7" t="inlineStr">
        <is>
          <t>Hi Shishir, congrats on the seed.
"The next industrial revolution isn't on earth" is a good way to put it.
Would be good to connect.</t>
        </is>
      </c>
      <c r="U19" s="7" t="inlineStr">
        <is>
          <t>Thanks for connecting, Shishir.
Space biomanufacturing needs a lot of explaining, and you do it well.
Are you planning to make that a regular thing, or keep it to big moments?</t>
        </is>
      </c>
      <c r="V19" s="7" t="inlineStr">
        <is>
          <t>cadence, no plain-English line on what Helogen makes, and an explainer series.</t>
        </is>
      </c>
      <c r="W19" s="7" t="inlineStr">
        <is>
          <t>US East. Direct.</t>
        </is>
      </c>
    </row>
    <row r="20" ht="96" customHeight="1">
      <c r="A20" s="7" t="inlineStr">
        <is>
          <t>G019</t>
        </is>
      </c>
      <c r="B20" s="7" t="inlineStr">
        <is>
          <t>01</t>
        </is>
      </c>
      <c r="C20" s="7" t="inlineStr">
        <is>
          <t>2026-09-22</t>
        </is>
      </c>
      <c r="D20" s="7" t="inlineStr">
        <is>
          <t>Shashank ND</t>
        </is>
      </c>
      <c r="E20" s="7" t="inlineStr">
        <is>
          <t>Founder MD &amp; Exec Chairman</t>
        </is>
      </c>
      <c r="F20" s="7" t="inlineStr">
        <is>
          <t>Practo</t>
        </is>
      </c>
      <c r="G20" s="7" t="inlineStr">
        <is>
          <t>India</t>
        </is>
      </c>
      <c r="H20" s="7" t="inlineStr"/>
      <c r="I20" s="8" t="inlineStr">
        <is>
          <t>https://www.linkedin.com/in/shashanknd</t>
        </is>
      </c>
      <c r="J20" s="9" t="inlineStr">
        <is>
          <t>Yes</t>
        </is>
      </c>
      <c r="K20" s="7" t="inlineStr">
        <is>
          <t>moved from CEO to MD and Executive Chairman on 1 Sep 2026. He'll lead capital strategy, inorganic growth and innovation.</t>
        </is>
      </c>
      <c r="L20" s="7" t="inlineStr">
        <is>
          <t>2026-09</t>
        </is>
      </c>
      <c r="M20" s="7" t="inlineStr"/>
      <c r="N20" s="7" t="inlineStr">
        <is>
          <t>Company-news voice</t>
        </is>
      </c>
      <c r="O20" s="7" t="inlineStr">
        <is>
          <t>2026-01</t>
        </is>
      </c>
      <c r="P20" s="7" t="inlineStr">
        <is>
          <t>company-news voice with a big-moment cadence: annual letters (FY24, Jun 2024), market launches (UAE May 2025, US Jan 2026). Media covers him often (the AI transformation piece and the Cent launch, Mar 2026).</t>
        </is>
      </c>
      <c r="Q20" s="7" t="n">
        <v>40</v>
      </c>
      <c r="R20" s="7">
        <f>IF(Q20&gt;=60,"Priority",IF(Q20&gt;=40,"Warm","Nurture"))</f>
        <v/>
      </c>
      <c r="S20" s="7" t="inlineStr">
        <is>
          <t>the chairman narrative. Fewer operations posts, more on long-term bets.</t>
        </is>
      </c>
      <c r="T20" s="7" t="inlineStr">
        <is>
          <t>Hi Shashank, congratulations on the new role at Practo.
The move into the US and UAE has been interesting to follow.
Would be good to connect.</t>
        </is>
      </c>
      <c r="U20" s="7" t="inlineStr">
        <is>
          <t>Thanks for connecting, Shashank.
Moving from CEO to chairman usually changes what people expect to hear from you.
Is that something you're thinking about for LinkedIn?</t>
        </is>
      </c>
      <c r="V20" s="7" t="inlineStr"/>
      <c r="W20" s="7" t="inlineStr">
        <is>
          <t>only after lead 7 has been contacted and at least a week has passed. The likely route is through his comms or CoS. India, senior. Very respectful and short. Wait 1 week after Jagnoor</t>
        </is>
      </c>
    </row>
    <row r="21" ht="96" customHeight="1">
      <c r="A21" s="7" t="inlineStr">
        <is>
          <t>G020</t>
        </is>
      </c>
      <c r="B21" s="7" t="inlineStr">
        <is>
          <t>01</t>
        </is>
      </c>
      <c r="C21" s="7" t="inlineStr">
        <is>
          <t>2026-09-22</t>
        </is>
      </c>
      <c r="D21" s="7" t="inlineStr">
        <is>
          <t>Ilan Zerbib</t>
        </is>
      </c>
      <c r="E21" s="7" t="inlineStr">
        <is>
          <t>Founder &amp; CEO</t>
        </is>
      </c>
      <c r="F21" s="7" t="inlineStr">
        <is>
          <t>Sapiom</t>
        </is>
      </c>
      <c r="G21" s="7" t="inlineStr">
        <is>
          <t>US</t>
        </is>
      </c>
      <c r="H21" s="7" t="inlineStr"/>
      <c r="I21" s="8" t="inlineStr">
        <is>
          <t>https://www.linkedin.com/in/izerbib</t>
        </is>
      </c>
      <c r="J21" s="9" t="inlineStr">
        <is>
          <t>Yes</t>
        </is>
      </c>
      <c r="K21" s="7" t="inlineStr">
        <is>
          <t>$15.75M seed with Accel (Feb 2026), then a $35M Series A (Aug 2026). SF, AI agents and agentic payments. He spent nearly 5 years at Shopify.</t>
        </is>
      </c>
      <c r="L21" s="7" t="inlineStr">
        <is>
          <t>2026-08</t>
        </is>
      </c>
      <c r="M21" s="7" t="inlineStr"/>
      <c r="N21" s="7" t="inlineStr">
        <is>
          <t>Already consistent</t>
        </is>
      </c>
      <c r="O21" s="7" t="inlineStr">
        <is>
          <t>2026-08</t>
        </is>
      </c>
      <c r="P21" s="7" t="inlineStr">
        <is>
          <t>already consistent, the most active in the batch. Roughly monthly original posts in 2026: the Shopify chapter (Oct 2025), the seed (Feb), Okta Ventures (Feb), "Building with Sapiom" (Jul), "Eleven months ago I founded Sapiom" (Aug).</t>
        </is>
      </c>
      <c r="Q21" s="7" t="n">
        <v>40</v>
      </c>
      <c r="R21" s="7">
        <f>IF(Q21&gt;=60,"Priority",IF(Q21&gt;=40,"Warm","Nurture"))</f>
        <v/>
      </c>
      <c r="S21" s="7" t="inlineStr">
        <is>
          <t>go from monthly to weekly and turn big posts into series, so a CEO of a fast-growing company gets the hours back.</t>
        </is>
      </c>
      <c r="T21" s="7" t="inlineStr">
        <is>
          <t>Hi Ilan, congrats on the Series A.
Saw your "eleven months ago I founded Sapiom" post. [one line on what stood out]
Would be good to connect.</t>
        </is>
      </c>
      <c r="U21" s="7" t="inlineStr">
        <is>
          <t>Thanks for connecting, Ilan.
You're one of the few founders who actually posts consistently.
Curious, how much of your week does it take right now?</t>
        </is>
      </c>
      <c r="V21" s="7" t="inlineStr">
        <is>
          <t>go from monthly to weekly, reuse the long posts, and his agentic payments point of view for the buyers.</t>
        </is>
      </c>
      <c r="W21" s="7" t="inlineStr">
        <is>
          <t>US West. Numbers-first. He'll judge Gliped on its own profile, so make sure it's current. Pitch time and reach not starting</t>
        </is>
      </c>
    </row>
    <row r="22" ht="96" customHeight="1">
      <c r="A22" s="7" t="inlineStr">
        <is>
          <t>G021</t>
        </is>
      </c>
      <c r="B22" s="7" t="inlineStr">
        <is>
          <t>02</t>
        </is>
      </c>
      <c r="C22" s="7" t="inlineStr">
        <is>
          <t>2026-09-25</t>
        </is>
      </c>
      <c r="D22" s="7" t="inlineStr">
        <is>
          <t>Aniket Shah</t>
        </is>
      </c>
      <c r="E22" s="7" t="inlineStr">
        <is>
          <t>Co-founder &amp; CEO</t>
        </is>
      </c>
      <c r="F22" s="7" t="inlineStr">
        <is>
          <t>Swish</t>
        </is>
      </c>
      <c r="G22" s="7" t="inlineStr">
        <is>
          <t>India</t>
        </is>
      </c>
      <c r="H22" s="7" t="inlineStr">
        <is>
          <t>Bengaluru</t>
        </is>
      </c>
      <c r="I22" s="8" t="inlineStr">
        <is>
          <t>https://www.linkedin.com/in/aniketshah30</t>
        </is>
      </c>
      <c r="J22" s="9" t="inlineStr">
        <is>
          <t>Yes</t>
        </is>
      </c>
      <c r="K22" s="7" t="inlineStr">
        <is>
          <t>$24M led by Bertelsmann India, with Accel and Bain Capital Ventures, to expand its 10-minute kitchen network</t>
        </is>
      </c>
      <c r="L22" s="7" t="inlineStr">
        <is>
          <t>2026-09-10</t>
        </is>
      </c>
      <c r="M22" s="10" t="inlineStr">
        <is>
          <t>https://entrackr.com/news/10-minute-food-delivery-startup-swish-raises-24-mn-led-by-bertelsmann-india-investments-12513814</t>
        </is>
      </c>
      <c r="N22" s="7" t="inlineStr">
        <is>
          <t>Milestone-only</t>
        </is>
      </c>
      <c r="O22" s="7" t="inlineStr">
        <is>
          <t>2025-03</t>
        </is>
      </c>
      <c r="P22" s="7" t="inlineStr">
        <is>
          <t>Indexed own posts: Founder's Office hiring (Jan 2025) and the last raise (Mar 2025). Co-founder Ujjwal Sukheja wrote the founding story the same week. Nothing indexed since.</t>
        </is>
      </c>
      <c r="Q22" s="7" t="n">
        <v>60</v>
      </c>
      <c r="R22" s="7">
        <f>IF(Q22&gt;=60,"Priority",IF(Q22&gt;=40,"Warm","Nurture"))</f>
        <v/>
      </c>
      <c r="S22" s="7" t="inlineStr">
        <is>
          <t>Quick commerce is crowded. The founder who explains why 10-minute fresh food works wins hires and press between rounds.</t>
        </is>
      </c>
      <c r="T22" s="7" t="inlineStr">
        <is>
          <t>Hi Aniket, congrats on the new round.
Neighbourhood kitchens within a kilometre is a sharp way to make 10 minutes work.
Would be good to connect.</t>
        </is>
      </c>
      <c r="U22" s="7" t="inlineStr">
        <is>
          <t>Thanks for connecting, Aniket.
Quick one. With the kitchen network growing, do you want your own LinkedIn telling that story?
Or is it mostly the brand account for now?</t>
        </is>
      </c>
      <c r="V22" s="7" t="inlineStr">
        <is>
          <t>Posts only at raises and hiring; no view of his own on hyperlocal food ops; featured section not pointing to Swish.</t>
        </is>
      </c>
      <c r="W22" s="7" t="inlineStr">
        <is>
          <t>Co-founders Ujjwal Sukheja and Saran S. also post. Pitch Aniket first.</t>
        </is>
      </c>
    </row>
    <row r="23" ht="96" customHeight="1">
      <c r="A23" s="7" t="inlineStr">
        <is>
          <t>G022</t>
        </is>
      </c>
      <c r="B23" s="7" t="inlineStr">
        <is>
          <t>02</t>
        </is>
      </c>
      <c r="C23" s="7" t="inlineStr">
        <is>
          <t>2026-09-25</t>
        </is>
      </c>
      <c r="D23" s="7" t="inlineStr">
        <is>
          <t>Sunil Gupta</t>
        </is>
      </c>
      <c r="E23" s="7" t="inlineStr">
        <is>
          <t>Co-founder &amp; CEO</t>
        </is>
      </c>
      <c r="F23" s="7" t="inlineStr">
        <is>
          <t>QNu Labs</t>
        </is>
      </c>
      <c r="G23" s="7" t="inlineStr">
        <is>
          <t>India</t>
        </is>
      </c>
      <c r="H23" s="7" t="inlineStr">
        <is>
          <t>Bengaluru</t>
        </is>
      </c>
      <c r="I23" s="8" t="inlineStr">
        <is>
          <t>https://www.linkedin.com/in/sunil-gupta-1733754</t>
        </is>
      </c>
      <c r="J23" s="9" t="inlineStr">
        <is>
          <t>Yes</t>
        </is>
      </c>
      <c r="K23" s="7" t="inlineStr">
        <is>
          <t>Rs 200 Cr Series A1 co-led by National Quantum Mission and Speciale Invest, with Sony Innovation Fund</t>
        </is>
      </c>
      <c r="L23" s="7" t="inlineStr">
        <is>
          <t>2026-09-09</t>
        </is>
      </c>
      <c r="M23" s="10" t="inlineStr">
        <is>
          <t>https://startuptalky.com/news/daily-indian-funding-roundup-key-news-9-september-2026/</t>
        </is>
      </c>
      <c r="N23" s="7" t="inlineStr">
        <is>
          <t>Company-news voice</t>
        </is>
      </c>
      <c r="O23" s="7" t="inlineStr">
        <is>
          <t>2025-12</t>
        </is>
      </c>
      <c r="P23" s="7" t="inlineStr">
        <is>
          <t>Posts company milestones one to three times a year since 2021: IMC 2022 (28 comments), India's first quantum telecom link, Tracxn ranking, a Dec 2025 breakthrough post. All announcements.</t>
        </is>
      </c>
      <c r="Q23" s="7" t="n">
        <v>50</v>
      </c>
      <c r="R23" s="7">
        <f>IF(Q23&gt;=60,"Priority",IF(Q23&gt;=40,"Warm","Nurture"))</f>
        <v/>
      </c>
      <c r="S23" s="7" t="inlineStr">
        <is>
          <t>Quantum security needs explaining to CISOs and government buyers. A founder voice on why quantum-safe matters now turns announcements into trust.</t>
        </is>
      </c>
      <c r="T23" s="7" t="inlineStr">
        <is>
          <t>Hi Sunil, congrats on the Series A1.
Quantum-safe security built out of India is a story more CISOs should hear.
Would be good to connect.</t>
        </is>
      </c>
      <c r="U23" s="7" t="inlineStr">
        <is>
          <t>Thanks for connecting, Sunil.
Your posts mostly announce QNu milestones.
Have you thought about explaining the why behind quantum-safe for buyers who are still catching up?</t>
        </is>
      </c>
      <c r="V23" s="7" t="inlineStr">
        <is>
          <t>Announcement-only feed; no plain-language line on what QNu does; no cadence between milestones.</t>
        </is>
      </c>
      <c r="W23" s="7" t="inlineStr">
        <is>
          <t>Deep tech, government and defence buyers. Keep it formal.</t>
        </is>
      </c>
    </row>
    <row r="24" ht="96" customHeight="1">
      <c r="A24" s="7" t="inlineStr">
        <is>
          <t>G023</t>
        </is>
      </c>
      <c r="B24" s="7" t="inlineStr">
        <is>
          <t>02</t>
        </is>
      </c>
      <c r="C24" s="7" t="inlineStr">
        <is>
          <t>2026-09-25</t>
        </is>
      </c>
      <c r="D24" s="7" t="inlineStr">
        <is>
          <t>Prashant Shah</t>
        </is>
      </c>
      <c r="E24" s="7" t="inlineStr">
        <is>
          <t>Co-founder</t>
        </is>
      </c>
      <c r="F24" s="7" t="inlineStr">
        <is>
          <t>Definedge</t>
        </is>
      </c>
      <c r="G24" s="7" t="inlineStr">
        <is>
          <t>India</t>
        </is>
      </c>
      <c r="H24" s="7" t="inlineStr">
        <is>
          <t>Pune</t>
        </is>
      </c>
      <c r="I24" s="8" t="inlineStr">
        <is>
          <t>https://www.linkedin.com/in/prashant-shah-definedge</t>
        </is>
      </c>
      <c r="J24" s="9" t="inlineStr">
        <is>
          <t>Yes</t>
        </is>
      </c>
      <c r="K24" s="7" t="inlineStr">
        <is>
          <t>Rs 22 Cr pre-Series A; total raised Rs 30 Cr; 14+ trading and investing platforms (Opstra, Zone, Algostra)</t>
        </is>
      </c>
      <c r="L24" s="7" t="inlineStr">
        <is>
          <t>2026-09-22</t>
        </is>
      </c>
      <c r="M24" s="10" t="inlineStr">
        <is>
          <t>https://entrackr.com/snippets/fintech-and-brokerage-startup-definedge-raises-rs-22-cr-in-pre-series-a-12562400</t>
        </is>
      </c>
      <c r="N24" s="7" t="inlineStr">
        <is>
          <t>Milestone-only</t>
        </is>
      </c>
      <c r="O24" s="7" t="inlineStr">
        <is>
          <t>2025-12</t>
        </is>
      </c>
      <c r="P24" s="7" t="inlineStr">
        <is>
          <t>One own post indexed (Dec 2025, a Definedge milestone). Holds CMT, CFTe, MFTA and MSTA, so he has deep technical-analysis credibility that barely shows on LinkedIn.</t>
        </is>
      </c>
      <c r="Q24" s="7" t="n">
        <v>50</v>
      </c>
      <c r="R24" s="7">
        <f>IF(Q24&gt;=60,"Priority",IF(Q24&gt;=40,"Warm","Nurture"))</f>
        <v/>
      </c>
      <c r="S24" s="7" t="inlineStr">
        <is>
          <t>Retail traders follow people, not platforms. His chartered-technician credibility is the brand asset.</t>
        </is>
      </c>
      <c r="T24" s="7" t="inlineStr">
        <is>
          <t>Hi Prashant, congrats on the pre-Series A.
Fourteen platforms for retail traders out of Pune is a lot of product.
Would be good to connect.</t>
        </is>
      </c>
      <c r="U24" s="7" t="inlineStr">
        <is>
          <t>Thanks for connecting, Prashant.
You carry more technical-analysis credentials than most people posting about markets.
Is building a voice on LinkedIn part of the plan now?</t>
        </is>
      </c>
      <c r="V24" s="7" t="inlineStr">
        <is>
          <t>Credentials in headline but no educational posts; no link to Definedge platforms; posts only at milestones.</t>
        </is>
      </c>
      <c r="W24" s="7" t="inlineStr">
        <is>
          <t>Check whether he already posts on YouTube or X. If so, pitch repurposing onto LinkedIn.</t>
        </is>
      </c>
    </row>
    <row r="25" ht="96" customHeight="1">
      <c r="A25" s="7" t="inlineStr">
        <is>
          <t>G024</t>
        </is>
      </c>
      <c r="B25" s="7" t="inlineStr">
        <is>
          <t>02</t>
        </is>
      </c>
      <c r="C25" s="7" t="inlineStr">
        <is>
          <t>2026-09-25</t>
        </is>
      </c>
      <c r="D25" s="7" t="inlineStr">
        <is>
          <t>Abhijit (AB) Gupta</t>
        </is>
      </c>
      <c r="E25" s="7" t="inlineStr">
        <is>
          <t>Co-founder</t>
        </is>
      </c>
      <c r="F25" s="7" t="inlineStr">
        <is>
          <t>Popo Global (The Pizza Bakery, Paris Panini, Smash Guys)</t>
        </is>
      </c>
      <c r="G25" s="7" t="inlineStr">
        <is>
          <t>India</t>
        </is>
      </c>
      <c r="H25" s="7" t="inlineStr">
        <is>
          <t>Bengaluru</t>
        </is>
      </c>
      <c r="I25" s="8" t="inlineStr">
        <is>
          <t>https://www.linkedin.com/in/ab-gupta-9b1b8210</t>
        </is>
      </c>
      <c r="J25" s="9" t="inlineStr">
        <is>
          <t>Yes</t>
        </is>
      </c>
      <c r="K25" s="7" t="inlineStr">
        <is>
          <t>Rs 532 Cr from Artal Asia to expand beyond Bengaluru</t>
        </is>
      </c>
      <c r="L25" s="7" t="inlineStr">
        <is>
          <t>2026-09-11</t>
        </is>
      </c>
      <c r="M25" s="10" t="inlineStr">
        <is>
          <t>https://entrackr.com/snippets/the-pizza-bakery-operator-popo-global-raises-rs-532-cr-from-artal-asia-12518089</t>
        </is>
      </c>
      <c r="N25" s="7" t="inlineStr">
        <is>
          <t>Went quiet</t>
        </is>
      </c>
      <c r="O25" s="7" t="inlineStr">
        <is>
          <t>2023-04</t>
        </is>
      </c>
      <c r="P25" s="7" t="inlineStr">
        <is>
          <t>Posted 'Growth Stories: Lessons from The Pizza Bakery' (Apr 2023) and spoke on an investor panel about building F&amp;B without growth capital (May 2023). The company page carries it since.</t>
        </is>
      </c>
      <c r="Q25" s="7" t="n">
        <v>60</v>
      </c>
      <c r="R25" s="7">
        <f>IF(Q25&gt;=60,"Priority",IF(Q25&gt;=40,"Warm","Nurture"))</f>
        <v/>
      </c>
      <c r="S25" s="7" t="inlineStr">
        <is>
          <t>He built without outside capital and now has Rs 532 Cr. That's a founder story F&amp;B operators and new-city hires will follow.</t>
        </is>
      </c>
      <c r="T25" s="7" t="inlineStr">
        <is>
          <t>Hi AB, congrats on the Artal round.
Building The Pizza Bakery without growth capital first makes this one more interesting.
Would be good to connect.</t>
        </is>
      </c>
      <c r="U25" s="7" t="inlineStr">
        <is>
          <t>Thanks for connecting, AB.
Your growth-stories episode from 2023 was one of the few times you told the story yourself.
With new cities coming, is that something you want to do more of?</t>
        </is>
      </c>
      <c r="V25" s="7" t="inlineStr">
        <is>
          <t>Three-year gap; profile doesn't show the three brands; expansion story is untold.</t>
        </is>
      </c>
      <c r="W25" s="7" t="inlineStr">
        <is>
          <t>Co-founder brother Nikhil Gupta. Pitch AB first.</t>
        </is>
      </c>
    </row>
    <row r="26" ht="96" customHeight="1">
      <c r="A26" s="7" t="inlineStr">
        <is>
          <t>G025</t>
        </is>
      </c>
      <c r="B26" s="7" t="inlineStr">
        <is>
          <t>02</t>
        </is>
      </c>
      <c r="C26" s="7" t="inlineStr">
        <is>
          <t>2026-09-25</t>
        </is>
      </c>
      <c r="D26" s="7" t="inlineStr">
        <is>
          <t>Karan Jain</t>
        </is>
      </c>
      <c r="E26" s="7" t="inlineStr">
        <is>
          <t>Founder &amp; CEO</t>
        </is>
      </c>
      <c r="F26" s="7" t="inlineStr">
        <is>
          <t>Carrum Mobility</t>
        </is>
      </c>
      <c r="G26" s="7" t="inlineStr">
        <is>
          <t>India</t>
        </is>
      </c>
      <c r="H26" s="7" t="inlineStr">
        <is>
          <t>Bengaluru</t>
        </is>
      </c>
      <c r="I26" s="8" t="inlineStr">
        <is>
          <t>https://www.linkedin.com/search/results/people/?keywords=Karan%20Jain%20Carrum%20Mobility</t>
        </is>
      </c>
      <c r="J26" s="9" t="inlineStr">
        <is>
          <t>No</t>
        </is>
      </c>
      <c r="K26" s="7" t="inlineStr">
        <is>
          <t>$10M Series B led by Uber at about $168M valuation; business nearly doubled since January; profitable since month one</t>
        </is>
      </c>
      <c r="L26" s="7" t="inlineStr">
        <is>
          <t>2026-09-09</t>
        </is>
      </c>
      <c r="M26" s="10" t="inlineStr">
        <is>
          <t>https://techcrunch.com/2026/09/09/uber-invests-10m-in-indian-fleet-operator-carrum-at-168m-valuation/</t>
        </is>
      </c>
      <c r="N26" s="7" t="inlineStr">
        <is>
          <t>Not indexed</t>
        </is>
      </c>
      <c r="O26" s="7" t="inlineStr"/>
      <c r="P26" s="7" t="inlineStr">
        <is>
          <t>No own posts indexed. Several people share the name, so confirm the profile first. He previously founded Revv (acquired by CarDekho).</t>
        </is>
      </c>
      <c r="Q26" s="7" t="n">
        <v>60</v>
      </c>
      <c r="R26" s="7">
        <f>IF(Q26&gt;=60,"Priority",IF(Q26&gt;=40,"Warm","Nurture"))</f>
        <v/>
      </c>
      <c r="S26" s="7" t="inlineStr">
        <is>
          <t>Second-time founder, profitable from month one, backed twice by Uber. A rare story in mobility that he isn't telling.</t>
        </is>
      </c>
      <c r="T26" s="7" t="inlineStr">
        <is>
          <t>Hi Karan, congrats on the Uber round.
Profitable from month one in fleet management is rare. Following Carrum.
Would be good to connect.</t>
        </is>
      </c>
      <c r="U26" s="7" t="inlineStr">
        <is>
          <t>Thanks for connecting, Karan.
Between Revv and Carrum you've got a founder story most people in mobility would want to hear.
Is LinkedIn somewhere you want to tell it?</t>
        </is>
      </c>
      <c r="V26" s="7" t="inlineStr">
        <is>
          <t>Confirm profile; check headline mentions Revv exit; content line on profitable fleet ops and the EV and CNG shift.</t>
        </is>
      </c>
      <c r="W26" s="7" t="inlineStr">
        <is>
          <t>Confirm profile before sending.</t>
        </is>
      </c>
    </row>
    <row r="27" ht="96" customHeight="1">
      <c r="A27" s="7" t="inlineStr">
        <is>
          <t>G026</t>
        </is>
      </c>
      <c r="B27" s="7" t="inlineStr">
        <is>
          <t>02</t>
        </is>
      </c>
      <c r="C27" s="7" t="inlineStr">
        <is>
          <t>2026-09-25</t>
        </is>
      </c>
      <c r="D27" s="7" t="inlineStr">
        <is>
          <t>Abhishek Murarka</t>
        </is>
      </c>
      <c r="E27" s="7" t="inlineStr">
        <is>
          <t>Co-founder &amp; CEO</t>
        </is>
      </c>
      <c r="F27" s="7" t="inlineStr">
        <is>
          <t>Circolife</t>
        </is>
      </c>
      <c r="G27" s="7" t="inlineStr">
        <is>
          <t>India</t>
        </is>
      </c>
      <c r="H27" s="7" t="inlineStr"/>
      <c r="I27" s="8" t="inlineStr">
        <is>
          <t>https://www.linkedin.com/search/results/people/?keywords=Abhishek%20Murarka%20Circolife</t>
        </is>
      </c>
      <c r="J27" s="9" t="inlineStr">
        <is>
          <t>No</t>
        </is>
      </c>
      <c r="K27" s="7" t="inlineStr">
        <is>
          <t>$4.5M (Rs 40.45 Cr) pre-Series A anchored by Bharat Jaisinghani of Polycab, with Nitish Mittersain; target 40,000 cooling units</t>
        </is>
      </c>
      <c r="L27" s="7" t="inlineStr">
        <is>
          <t>2026-09-08</t>
        </is>
      </c>
      <c r="M27" s="10" t="inlineStr">
        <is>
          <t>https://www.exchange4media.com/industry-briefing-news/circolife-raises-45-mn-pre-series-a-158085.html</t>
        </is>
      </c>
      <c r="N27" s="7" t="inlineStr">
        <is>
          <t>Not indexed</t>
        </is>
      </c>
      <c r="O27" s="7" t="inlineStr"/>
      <c r="P27" s="7" t="inlineStr">
        <is>
          <t>Indexed posts under this name are about investing and wealth (2021 to 2024) and may be a different person. The Circolife company page posts regularly.</t>
        </is>
      </c>
      <c r="Q27" s="7" t="n">
        <v>50</v>
      </c>
      <c r="R27" s="7">
        <f>IF(Q27&gt;=60,"Priority",IF(Q27&gt;=40,"Warm","Nurture"))</f>
        <v/>
      </c>
      <c r="S27" s="7" t="inlineStr">
        <is>
          <t>Cooling-as-a-service is a new category. Businesses buying it want to trust the operator behind it.</t>
        </is>
      </c>
      <c r="T27" s="7" t="inlineStr">
        <is>
          <t>Hi Abhishek, congrats on the pre-Series A.
Cooling as a subscription is a smart model for Indian offices.
Would be good to connect.</t>
        </is>
      </c>
      <c r="U27" s="7" t="inlineStr">
        <is>
          <t>Thanks for connecting, Abhishek.
The company page is doing the talking for Circolife right now.
Is building your own voice around the category something you've thought about?</t>
        </is>
      </c>
      <c r="V27" s="7" t="inlineStr">
        <is>
          <t>Confirm profile; company page posts, founder silent; content line on energy savings and IoT maintenance.</t>
        </is>
      </c>
      <c r="W27" s="7" t="inlineStr">
        <is>
          <t>Confirm profile before sending.</t>
        </is>
      </c>
    </row>
    <row r="28" ht="96" customHeight="1">
      <c r="A28" s="7" t="inlineStr">
        <is>
          <t>G027</t>
        </is>
      </c>
      <c r="B28" s="7" t="inlineStr">
        <is>
          <t>02</t>
        </is>
      </c>
      <c r="C28" s="7" t="inlineStr">
        <is>
          <t>2026-09-25</t>
        </is>
      </c>
      <c r="D28" s="7" t="inlineStr">
        <is>
          <t>Sneha Priya Reddy</t>
        </is>
      </c>
      <c r="E28" s="7" t="inlineStr">
        <is>
          <t>Co-founder</t>
        </is>
      </c>
      <c r="F28" s="7" t="inlineStr">
        <is>
          <t>UniqYou</t>
        </is>
      </c>
      <c r="G28" s="7" t="inlineStr">
        <is>
          <t>India</t>
        </is>
      </c>
      <c r="H28" s="7" t="inlineStr">
        <is>
          <t>Bengaluru</t>
        </is>
      </c>
      <c r="I28" s="8" t="inlineStr">
        <is>
          <t>https://www.linkedin.com/search/results/people/?keywords=Sneha%20Priya%20Reddy%20UniqYou</t>
        </is>
      </c>
      <c r="J28" s="9" t="inlineStr">
        <is>
          <t>No</t>
        </is>
      </c>
      <c r="K28" s="7" t="inlineStr">
        <is>
          <t>Rs 15.8 Cr seed led by Arkam Ventures and Antler; company founded 2026; angels include Myntra's co-founder and former CEO</t>
        </is>
      </c>
      <c r="L28" s="7" t="inlineStr">
        <is>
          <t>2026-09-14</t>
        </is>
      </c>
      <c r="M28" s="10" t="inlineStr">
        <is>
          <t>https://startuptalky.com/news/daily-indian-funding-roundup-key-news-14-september-2026/</t>
        </is>
      </c>
      <c r="N28" s="7" t="inlineStr">
        <is>
          <t>Not indexed</t>
        </is>
      </c>
      <c r="O28" s="7" t="inlineStr"/>
      <c r="P28" s="7" t="inlineStr">
        <is>
          <t>No own posts indexed. Brand-new company, so her founder presence is starting from zero.</t>
        </is>
      </c>
      <c r="Q28" s="7" t="n">
        <v>60</v>
      </c>
      <c r="R28" s="7">
        <f>IF(Q28&gt;=60,"Priority",IF(Q28&gt;=40,"Warm","Nurture"))</f>
        <v/>
      </c>
      <c r="S28" s="7" t="inlineStr">
        <is>
          <t>Women's fashion is built on trust and taste. A founder-led feed at launch is cheaper than paid acquisition.</t>
        </is>
      </c>
      <c r="T28" s="7" t="inlineStr">
        <is>
          <t>Hi Sneha, congrats on the seed.
A tech-first platform for women's fashion with the Myntra founders behind it is a strong start.
Would be good to connect.</t>
        </is>
      </c>
      <c r="U28" s="7" t="inlineStr">
        <is>
          <t>Thanks for connecting, Sneha.
In fashion, people buy into the founder's taste first.
Is your own LinkedIn part of the launch plan for UniqYou?</t>
        </is>
      </c>
      <c r="V28" s="7" t="inlineStr">
        <is>
          <t>Confirm profile; launch story; build-in-public format for the first 90 days.</t>
        </is>
      </c>
      <c r="W28" s="7" t="inlineStr">
        <is>
          <t>Confirm profile. Co-founder Nishanth Jois.</t>
        </is>
      </c>
    </row>
    <row r="29" ht="96" customHeight="1">
      <c r="A29" s="7" t="inlineStr">
        <is>
          <t>G028</t>
        </is>
      </c>
      <c r="B29" s="7" t="inlineStr">
        <is>
          <t>02</t>
        </is>
      </c>
      <c r="C29" s="7" t="inlineStr">
        <is>
          <t>2026-09-25</t>
        </is>
      </c>
      <c r="D29" s="7" t="inlineStr">
        <is>
          <t>Ankit Joshi</t>
        </is>
      </c>
      <c r="E29" s="7" t="inlineStr">
        <is>
          <t>Co-founder</t>
        </is>
      </c>
      <c r="F29" s="7" t="inlineStr">
        <is>
          <t>TRUE ARTIS</t>
        </is>
      </c>
      <c r="G29" s="7" t="inlineStr">
        <is>
          <t>India</t>
        </is>
      </c>
      <c r="H29" s="7" t="inlineStr">
        <is>
          <t>Delhi NCR</t>
        </is>
      </c>
      <c r="I29" s="8" t="inlineStr">
        <is>
          <t>https://www.linkedin.com/search/results/people/?keywords=Ankit%20Joshi%20TRUE%20ARTIS</t>
        </is>
      </c>
      <c r="J29" s="9" t="inlineStr">
        <is>
          <t>No</t>
        </is>
      </c>
      <c r="K29" s="7" t="inlineStr">
        <is>
          <t>Rs 11.4 Cr seed led by Zeropearl VC, with Medanta co-founder's group Eleven; two aesthetic surgery centres in Delhi and Gurgaon</t>
        </is>
      </c>
      <c r="L29" s="7" t="inlineStr">
        <is>
          <t>2026-09-16</t>
        </is>
      </c>
      <c r="M29" s="10" t="inlineStr">
        <is>
          <t>https://startuptalky.com/news/daily-indian-funding-roundup-key-news-16-september-2026/</t>
        </is>
      </c>
      <c r="N29" s="7" t="inlineStr">
        <is>
          <t>Not indexed</t>
        </is>
      </c>
      <c r="O29" s="7" t="inlineStr"/>
      <c r="P29" s="7" t="inlineStr">
        <is>
          <t>No own posts indexed that clearly match. Many profiles share the name.</t>
        </is>
      </c>
      <c r="Q29" s="7" t="n">
        <v>50</v>
      </c>
      <c r="R29" s="7">
        <f>IF(Q29&gt;=60,"Priority",IF(Q29&gt;=40,"Warm","Nurture"))</f>
        <v/>
      </c>
      <c r="S29" s="7" t="inlineStr">
        <is>
          <t>Aesthetic surgery is a trust purchase. A founder who explains safety and standards sets the brand apart from clinics.</t>
        </is>
      </c>
      <c r="T29" s="7" t="inlineStr">
        <is>
          <t>Hi Ankit, congrats on the seed.
An integrated aesthetic surgery platform with Medanta-linked backing is a strong signal.
Would be good to connect.</t>
        </is>
      </c>
      <c r="U29" s="7" t="inlineStr">
        <is>
          <t>Thanks for connecting, Ankit.
In aesthetics, patients check who's behind the clinic before they book.
Is founder content part of how you want to build TRUE ARTIS?</t>
        </is>
      </c>
      <c r="V29" s="7" t="inlineStr">
        <is>
          <t>Confirm profile; trust and safety content line; doctor partner features.</t>
        </is>
      </c>
      <c r="W29" s="7" t="inlineStr">
        <is>
          <t>Confirm profile. Co-founder Sandeep Upadhyay. Medical advertising rules apply to content.</t>
        </is>
      </c>
    </row>
    <row r="30" ht="96" customHeight="1">
      <c r="A30" s="7" t="inlineStr">
        <is>
          <t>G029</t>
        </is>
      </c>
      <c r="B30" s="7" t="inlineStr">
        <is>
          <t>02</t>
        </is>
      </c>
      <c r="C30" s="7" t="inlineStr">
        <is>
          <t>2026-09-25</t>
        </is>
      </c>
      <c r="D30" s="7" t="inlineStr">
        <is>
          <t>Devang Kumar</t>
        </is>
      </c>
      <c r="E30" s="7" t="inlineStr">
        <is>
          <t>Founder &amp; CEO</t>
        </is>
      </c>
      <c r="F30" s="7" t="inlineStr">
        <is>
          <t>Greenwave Circularity</t>
        </is>
      </c>
      <c r="G30" s="7" t="inlineStr">
        <is>
          <t>India</t>
        </is>
      </c>
      <c r="H30" s="7" t="inlineStr">
        <is>
          <t>Odisha</t>
        </is>
      </c>
      <c r="I30" s="8" t="inlineStr">
        <is>
          <t>https://www.linkedin.com/search/results/people/?keywords=Devang%20Kumar%20Greenwave%20Circularity</t>
        </is>
      </c>
      <c r="J30" s="9" t="inlineStr">
        <is>
          <t>No</t>
        </is>
      </c>
      <c r="K30" s="7" t="inlineStr">
        <is>
          <t>$31.5M financing from OeEB (Development Bank of Austria) for a closed-loop PET recycling plant; JV with a Coca-Cola bottler</t>
        </is>
      </c>
      <c r="L30" s="7" t="inlineStr">
        <is>
          <t>2026-09-09</t>
        </is>
      </c>
      <c r="M30" s="10" t="inlineStr">
        <is>
          <t>https://indianstartupnews.com/funding/greenwave-circularity-raises-315-million-from-oeeb-for-odisha-pet-recycling-plant-12516293</t>
        </is>
      </c>
      <c r="N30" s="7" t="inlineStr">
        <is>
          <t>Not indexed</t>
        </is>
      </c>
      <c r="O30" s="7" t="inlineStr"/>
      <c r="P30" s="7" t="inlineStr">
        <is>
          <t>No own posts indexed.</t>
        </is>
      </c>
      <c r="Q30" s="7" t="n">
        <v>50</v>
      </c>
      <c r="R30" s="7">
        <f>IF(Q30&gt;=60,"Priority",IF(Q30&gt;=40,"Warm","Nurture"))</f>
        <v/>
      </c>
      <c r="S30" s="7" t="inlineStr">
        <is>
          <t>Circular economy buyers (brands, bottlers, ESG teams) look for credible operators. A founder voice on recycled PET fills that gap.</t>
        </is>
      </c>
      <c r="T30" s="7" t="inlineStr">
        <is>
          <t>Hi Devang, congrats on the OeEB financing.
Closed-loop PET recycling at that scale is what brand ESG targets need.
Would be good to connect.</t>
        </is>
      </c>
      <c r="U30" s="7" t="inlineStr">
        <is>
          <t>Thanks for connecting, Devang.
Most brand sustainability leads are on LinkedIn.
Is building a voice there part of how you plan to win offtake partners?</t>
        </is>
      </c>
      <c r="V30" s="7" t="inlineStr">
        <is>
          <t>Confirm profile; ESG buyer content line; plant progress series.</t>
        </is>
      </c>
      <c r="W30" s="7" t="inlineStr">
        <is>
          <t>Confirm profile. This is debt financing, not equity, so avoid calling it a round.</t>
        </is>
      </c>
    </row>
    <row r="31" ht="96" customHeight="1">
      <c r="A31" s="7" t="inlineStr">
        <is>
          <t>G030</t>
        </is>
      </c>
      <c r="B31" s="7" t="inlineStr">
        <is>
          <t>02</t>
        </is>
      </c>
      <c r="C31" s="7" t="inlineStr">
        <is>
          <t>2026-09-25</t>
        </is>
      </c>
      <c r="D31" s="7" t="inlineStr">
        <is>
          <t>Avni Jain</t>
        </is>
      </c>
      <c r="E31" s="7" t="inlineStr">
        <is>
          <t>Founder</t>
        </is>
      </c>
      <c r="F31" s="7" t="inlineStr">
        <is>
          <t>Nuvah</t>
        </is>
      </c>
      <c r="G31" s="7" t="inlineStr">
        <is>
          <t>India</t>
        </is>
      </c>
      <c r="H31" s="7" t="inlineStr"/>
      <c r="I31" s="8" t="inlineStr">
        <is>
          <t>https://www.linkedin.com/search/results/people/?keywords=Avni%20Jain%20Nuvah</t>
        </is>
      </c>
      <c r="J31" s="9" t="inlineStr">
        <is>
          <t>No</t>
        </is>
      </c>
      <c r="K31" s="7" t="inlineStr">
        <is>
          <t>Rs 4 Cr pre-seed from Amit Jain (CarDekho), Shantanu Deshpande (Bombay Shaving Co) and Ishendra Agarwal (GIVA); comfort-engineered heels</t>
        </is>
      </c>
      <c r="L31" s="7" t="inlineStr">
        <is>
          <t>2026-09-22</t>
        </is>
      </c>
      <c r="M31" s="10" t="inlineStr">
        <is>
          <t>https://startuptalky.com/news/nuvah-raises-4-crore-pre-seed-comfort-heels/</t>
        </is>
      </c>
      <c r="N31" s="7" t="inlineStr">
        <is>
          <t>Not indexed</t>
        </is>
      </c>
      <c r="O31" s="7" t="inlineStr"/>
      <c r="P31" s="7" t="inlineStr">
        <is>
          <t>No own posts indexed that match. Ex-McKinsey, Goldman Sachs and VC; IIM Ahmedabad.</t>
        </is>
      </c>
      <c r="Q31" s="7" t="n">
        <v>50</v>
      </c>
      <c r="R31" s="7">
        <f>IF(Q31&gt;=60,"Priority",IF(Q31&gt;=40,"Warm","Nurture"))</f>
        <v/>
      </c>
      <c r="S31" s="7" t="inlineStr">
        <is>
          <t>D2C founder with a product-obsession story (24 prototypes, 900 hours of wear testing). That's content.</t>
        </is>
      </c>
      <c r="T31" s="7" t="inlineStr">
        <is>
          <t>Hi Avni, congrats on the pre-seed.
24 prototypes to get a heel that doesn't hurt is the kind of detail that sells.
Would be good to connect.</t>
        </is>
      </c>
      <c r="U31" s="7" t="inlineStr">
        <is>
          <t>Thanks for connecting, Avni.
The build story behind Nuvah is strong content on its own.
Is founder-led content part of the launch plan?</t>
        </is>
      </c>
      <c r="V31" s="7" t="inlineStr">
        <is>
          <t>Confirm profile; build-in-public series; headline from consulting to founder.</t>
        </is>
      </c>
      <c r="W31" s="7" t="inlineStr">
        <is>
          <t>Confirm profile. Pre-seed budget, so offer the pilot.</t>
        </is>
      </c>
    </row>
    <row r="32" ht="96" customHeight="1">
      <c r="A32" s="7" t="inlineStr">
        <is>
          <t>G031</t>
        </is>
      </c>
      <c r="B32" s="7" t="inlineStr">
        <is>
          <t>02</t>
        </is>
      </c>
      <c r="C32" s="7" t="inlineStr">
        <is>
          <t>2026-09-25</t>
        </is>
      </c>
      <c r="D32" s="7" t="inlineStr">
        <is>
          <t>Charlie Bullock</t>
        </is>
      </c>
      <c r="E32" s="7" t="inlineStr">
        <is>
          <t>Co-founder &amp; CEO</t>
        </is>
      </c>
      <c r="F32" s="7" t="inlineStr">
        <is>
          <t>Scan.com</t>
        </is>
      </c>
      <c r="G32" s="7" t="inlineStr">
        <is>
          <t>UK</t>
        </is>
      </c>
      <c r="H32" s="7" t="inlineStr">
        <is>
          <t>London</t>
        </is>
      </c>
      <c r="I32" s="8" t="inlineStr">
        <is>
          <t>https://www.linkedin.com/in/charlie-bullock</t>
        </is>
      </c>
      <c r="J32" s="9" t="inlineStr">
        <is>
          <t>Yes</t>
        </is>
      </c>
      <c r="K32" s="7" t="inlineStr">
        <is>
          <t>$220M incl. $90M Series C equity led by Noteus Partners, to build the largest US imaging network</t>
        </is>
      </c>
      <c r="L32" s="7" t="inlineStr">
        <is>
          <t>2026-08-31</t>
        </is>
      </c>
      <c r="M32" s="10" t="inlineStr">
        <is>
          <t>https://www.businesswire.com/news/home/20260831019981/en/Scan.com-Raises-$220-Million-to-Build-the-Largest-Medical-Imaging-Network-in-the-US</t>
        </is>
      </c>
      <c r="N32" s="7" t="inlineStr">
        <is>
          <t>Milestone-only</t>
        </is>
      </c>
      <c r="O32" s="7" t="inlineStr">
        <is>
          <t>2025-03</t>
        </is>
      </c>
      <c r="P32" s="7" t="inlineStr">
        <is>
          <t>Forbes 30 Under 30 (Apr 2024), Deloitte recognition (Nov 2024), a healthtech diagnostics post with 59 comments (Mar 2025). Last own post indexed Mar 2025.</t>
        </is>
      </c>
      <c r="Q32" s="7" t="n">
        <v>60</v>
      </c>
      <c r="R32" s="7">
        <f>IF(Q32&gt;=60,"Priority",IF(Q32&gt;=40,"Warm","Nurture"))</f>
        <v/>
      </c>
      <c r="S32" s="7" t="inlineStr">
        <is>
          <t>Moving the centre of gravity to the US. US health systems and partners don't know him yet.</t>
        </is>
      </c>
      <c r="T32" s="7" t="inlineStr">
        <is>
          <t>Hi Charlie, congrats on the Series C.
Building a national imaging network in the US from a UK start is a big move.
Would be good to connect.</t>
        </is>
      </c>
      <c r="U32" s="7" t="inlineStr">
        <is>
          <t>Thanks for connecting, Charlie.
Your posts do well when you post. The last one I could find was March 2025.
With the US push, is getting back to it on the list?</t>
        </is>
      </c>
      <c r="V32" s="7" t="inlineStr">
        <is>
          <t>18-month gap; UK framing; US health-system audience content line.</t>
        </is>
      </c>
      <c r="W32" s="7" t="inlineStr">
        <is>
          <t>Likely has comms support. Ask who owns his LinkedIn.</t>
        </is>
      </c>
    </row>
    <row r="33" ht="96" customHeight="1">
      <c r="A33" s="7" t="inlineStr">
        <is>
          <t>G032</t>
        </is>
      </c>
      <c r="B33" s="7" t="inlineStr">
        <is>
          <t>02</t>
        </is>
      </c>
      <c r="C33" s="7" t="inlineStr">
        <is>
          <t>2026-09-25</t>
        </is>
      </c>
      <c r="D33" s="7" t="inlineStr">
        <is>
          <t>Charlie Cook</t>
        </is>
      </c>
      <c r="E33" s="7" t="inlineStr">
        <is>
          <t>Founder &amp; CEO</t>
        </is>
      </c>
      <c r="F33" s="7" t="inlineStr">
        <is>
          <t>Rightcharge</t>
        </is>
      </c>
      <c r="G33" s="7" t="inlineStr">
        <is>
          <t>UK</t>
        </is>
      </c>
      <c r="H33" s="7" t="inlineStr">
        <is>
          <t>London</t>
        </is>
      </c>
      <c r="I33" s="8" t="inlineStr">
        <is>
          <t>https://www.linkedin.com/in/charlie-cook-2088922b</t>
        </is>
      </c>
      <c r="J33" s="9" t="inlineStr">
        <is>
          <t>Yes</t>
        </is>
      </c>
      <c r="K33" s="7" t="inlineStr">
        <is>
          <t>GBP 500k after 20x ARR growth, to scale fleet EV charging payments across Europe; Visa recommended partner (Jul 2026)</t>
        </is>
      </c>
      <c r="L33" s="7" t="inlineStr">
        <is>
          <t>2026-09-03</t>
        </is>
      </c>
      <c r="M33" s="10" t="inlineStr">
        <is>
          <t>https://tech.eu/2026/09/03/rightcharge-raises-ps500k-to-scale-fleet-ev-charging-payments-across-europe</t>
        </is>
      </c>
      <c r="N33" s="7" t="inlineStr">
        <is>
          <t>Emerging writer</t>
        </is>
      </c>
      <c r="O33" s="7" t="inlineStr">
        <is>
          <t>2026-07</t>
        </is>
      </c>
      <c r="P33" s="7" t="inlineStr">
        <is>
          <t>Posts a few times a year with some humour: an April Fools 'former CEO resigns' post (1 Apr 2025), how his team uses AI (Jun 2025), Visa partnership (Jul 2026).</t>
        </is>
      </c>
      <c r="Q33" s="7" t="n">
        <v>50</v>
      </c>
      <c r="R33" s="7">
        <f>IF(Q33&gt;=60,"Priority",IF(Q33&gt;=40,"Warm","Nurture"))</f>
        <v/>
      </c>
      <c r="S33" s="7" t="inlineStr">
        <is>
          <t>Already has a voice and a sense of humour. The gap is cadence as he enters Europe.</t>
        </is>
      </c>
      <c r="T33" s="7" t="inlineStr">
        <is>
          <t>Hi Charlie, congrats on the raise and the Visa partnership.
Fleet charging payments is a real headache for operators.
Would be good to connect.</t>
        </is>
      </c>
      <c r="U33" s="7" t="inlineStr">
        <is>
          <t>Thanks for connecting, Charlie.
You've got a voice on LinkedIn, it just shows up a few times a year.
With Europe coming, is more regular posting worth it to you?</t>
        </is>
      </c>
      <c r="V33" s="7" t="inlineStr">
        <is>
          <t>Cadence; European fleet-manager audience; one recurring format.</t>
        </is>
      </c>
      <c r="W33" s="7" t="inlineStr">
        <is>
          <t>The 'resigns' post is an April Fools joke. He's still CEO.</t>
        </is>
      </c>
    </row>
    <row r="34" ht="96" customHeight="1">
      <c r="A34" s="7" t="inlineStr">
        <is>
          <t>G033</t>
        </is>
      </c>
      <c r="B34" s="7" t="inlineStr">
        <is>
          <t>02</t>
        </is>
      </c>
      <c r="C34" s="7" t="inlineStr">
        <is>
          <t>2026-09-25</t>
        </is>
      </c>
      <c r="D34" s="7" t="inlineStr">
        <is>
          <t>Koji Muto</t>
        </is>
      </c>
      <c r="E34" s="7" t="inlineStr">
        <is>
          <t>Co-founder &amp; CEO</t>
        </is>
      </c>
      <c r="F34" s="7" t="inlineStr">
        <is>
          <t>Ki 13 (formerly Ki Hydrogen)</t>
        </is>
      </c>
      <c r="G34" s="7" t="inlineStr">
        <is>
          <t>UK</t>
        </is>
      </c>
      <c r="H34" s="7" t="inlineStr">
        <is>
          <t>London</t>
        </is>
      </c>
      <c r="I34" s="8" t="inlineStr">
        <is>
          <t>https://www.linkedin.com/in/kojimuto</t>
        </is>
      </c>
      <c r="J34" s="9" t="inlineStr">
        <is>
          <t>Yes</t>
        </is>
      </c>
      <c r="K34" s="7" t="inlineStr">
        <is>
          <t>$5M seed led by HICO, plus Innovate UK grants; rebranded to Ki 13 (Aug 2026)</t>
        </is>
      </c>
      <c r="L34" s="7" t="inlineStr">
        <is>
          <t>2026-09</t>
        </is>
      </c>
      <c r="M34" s="10" t="inlineStr">
        <is>
          <t>https://www.finsmes.com/2026/09/ki-13-raises-5m-in-seed-funding.html</t>
        </is>
      </c>
      <c r="N34" s="7" t="inlineStr">
        <is>
          <t>Milestone-only</t>
        </is>
      </c>
      <c r="O34" s="7" t="inlineStr">
        <is>
          <t>2026-08</t>
        </is>
      </c>
      <c r="P34" s="7" t="inlineStr">
        <is>
          <t>Business-plan competitions (2023), pitch video (21 comments), green hydrogen post (Apr 2024), rebrand (Aug 2026). Posts around milestones only.</t>
        </is>
      </c>
      <c r="Q34" s="7" t="n">
        <v>60</v>
      </c>
      <c r="R34" s="7">
        <f>IF(Q34&gt;=60,"Priority",IF(Q34&gt;=40,"Warm","Nurture"))</f>
        <v/>
      </c>
      <c r="S34" s="7" t="inlineStr">
        <is>
          <t>Deep climate tech with a new name. The rebrand needs a founder narrative to stick.</t>
        </is>
      </c>
      <c r="T34" s="7" t="inlineStr">
        <is>
          <t>Hi Koji, congrats on the seed and the new Ki 13 name.
Producing green hydrogen and biogenic CO2 together is a clever angle.
Would be good to connect.</t>
        </is>
      </c>
      <c r="U34" s="7" t="inlineStr">
        <is>
          <t>Thanks for connecting, Koji.
A rebrand plus a raise is a good moment to set the story.
Is your own LinkedIn part of how you want to do that?</t>
        </is>
      </c>
      <c r="V34" s="7" t="inlineStr">
        <is>
          <t>Headline still reads Ki Hydrogen (check); milestone-only cadence; explainer series.</t>
        </is>
      </c>
      <c r="W34" s="7" t="inlineStr"/>
    </row>
    <row r="35" ht="96" customHeight="1">
      <c r="A35" s="7" t="inlineStr">
        <is>
          <t>G034</t>
        </is>
      </c>
      <c r="B35" s="7" t="inlineStr">
        <is>
          <t>02</t>
        </is>
      </c>
      <c r="C35" s="7" t="inlineStr">
        <is>
          <t>2026-09-25</t>
        </is>
      </c>
      <c r="D35" s="7" t="inlineStr">
        <is>
          <t>Francisco Vigo</t>
        </is>
      </c>
      <c r="E35" s="7" t="inlineStr">
        <is>
          <t>Co-founder &amp; CEO</t>
        </is>
      </c>
      <c r="F35" s="7" t="inlineStr">
        <is>
          <t>geoSurge</t>
        </is>
      </c>
      <c r="G35" s="7" t="inlineStr">
        <is>
          <t>UK</t>
        </is>
      </c>
      <c r="H35" s="7" t="inlineStr">
        <is>
          <t>London</t>
        </is>
      </c>
      <c r="I35" s="8" t="inlineStr">
        <is>
          <t>https://www.linkedin.com/in/francisco-juan-vigo</t>
        </is>
      </c>
      <c r="J35" s="9" t="inlineStr">
        <is>
          <t>Yes</t>
        </is>
      </c>
      <c r="K35" s="7" t="inlineStr">
        <is>
          <t>$12M (EUR 10M) seed led by AlbionVC with Play Ventures</t>
        </is>
      </c>
      <c r="L35" s="7" t="inlineStr">
        <is>
          <t>2026-07-03</t>
        </is>
      </c>
      <c r="M35" s="10" t="inlineStr">
        <is>
          <t>https://www.uktech.news/ai/ai-search-visibility-startup-geosurge-scores-9-4m-round-20260703</t>
        </is>
      </c>
      <c r="N35" s="7" t="inlineStr">
        <is>
          <t>Company-page voice</t>
        </is>
      </c>
      <c r="O35" s="7" t="inlineStr">
        <is>
          <t>2025-12</t>
        </is>
      </c>
      <c r="P35" s="7" t="inlineStr">
        <is>
          <t>One own post indexed (Dec 2025, launch). The company page and London Stock Exchange's The Stage feature him (Feb to Mar 2026).</t>
        </is>
      </c>
      <c r="Q35" s="7" t="n">
        <v>50</v>
      </c>
      <c r="R35" s="7">
        <f>IF(Q35&gt;=60,"Priority",IF(Q35&gt;=40,"Warm","Nurture"))</f>
        <v/>
      </c>
      <c r="S35" s="7" t="inlineStr">
        <is>
          <t>geoSurge sells AI visibility. LinkedIn posts are one of the sources AI models cite, so his own visibility is on-message.</t>
        </is>
      </c>
      <c r="T35" s="7" t="inlineStr">
        <is>
          <t>Hi Francisco, congrats on the seed.
Helping brands see how AI models describe them is a real new need.
Would be good to connect.</t>
        </is>
      </c>
      <c r="U35" s="7" t="inlineStr">
        <is>
          <t>Thanks for connecting, Francisco.
Odd question for someone in AI visibility. How visible do you want to be yourself?
The company page is doing most of the talking.</t>
        </is>
      </c>
      <c r="V35" s="7" t="inlineStr">
        <is>
          <t>Company page vs founder feed; LinkedIn as an AI-citation source; weekly insight format.</t>
        </is>
      </c>
      <c r="W35" s="7" t="inlineStr"/>
    </row>
    <row r="36" ht="96" customHeight="1">
      <c r="A36" s="7" t="inlineStr">
        <is>
          <t>G035</t>
        </is>
      </c>
      <c r="B36" s="7" t="inlineStr">
        <is>
          <t>02</t>
        </is>
      </c>
      <c r="C36" s="7" t="inlineStr">
        <is>
          <t>2026-09-25</t>
        </is>
      </c>
      <c r="D36" s="7" t="inlineStr">
        <is>
          <t>Callum Adamson</t>
        </is>
      </c>
      <c r="E36" s="7" t="inlineStr">
        <is>
          <t>Co-founder &amp; CEO</t>
        </is>
      </c>
      <c r="F36" s="7" t="inlineStr">
        <is>
          <t>Applied Computing</t>
        </is>
      </c>
      <c r="G36" s="7" t="inlineStr">
        <is>
          <t>UK</t>
        </is>
      </c>
      <c r="H36" s="7" t="inlineStr">
        <is>
          <t>London</t>
        </is>
      </c>
      <c r="I36" s="8" t="inlineStr">
        <is>
          <t>https://www.linkedin.com/in/callumadamson</t>
        </is>
      </c>
      <c r="J36" s="9" t="inlineStr">
        <is>
          <t>Yes</t>
        </is>
      </c>
      <c r="K36" s="7" t="inlineStr">
        <is>
          <t>About EUR 17.4M led by KBR with Databricks Ventures; Orbital foundation model for energy operators</t>
        </is>
      </c>
      <c r="L36" s="7" t="inlineStr">
        <is>
          <t>2026-07-15</t>
        </is>
      </c>
      <c r="M36" s="10" t="inlineStr">
        <is>
          <t>https://techcrunch.com/2026/07/15/applied-computing-wants-to-give-oil-and-gas-operators-an-ai-model-for-the-entire-plant/</t>
        </is>
      </c>
      <c r="N36" s="7" t="inlineStr">
        <is>
          <t>Went quiet</t>
        </is>
      </c>
      <c r="O36" s="7" t="inlineStr">
        <is>
          <t>2025-05</t>
        </is>
      </c>
      <c r="P36" s="7" t="inlineStr">
        <is>
          <t>Earlier career posts (Distributed, recruiting). A Fred Destin venture post (Nov 2024), an Applied Computing post (May 2025). The company page carries podcasts and Orbital since.</t>
        </is>
      </c>
      <c r="Q36" s="7" t="n">
        <v>50</v>
      </c>
      <c r="R36" s="7">
        <f>IF(Q36&gt;=60,"Priority",IF(Q36&gt;=40,"Warm","Nurture"))</f>
        <v/>
      </c>
      <c r="S36" s="7" t="inlineStr">
        <is>
          <t>Energy operators buy from people they trust. A CEO voice on AI in refining is rare and credible.</t>
        </is>
      </c>
      <c r="T36" s="7" t="inlineStr">
        <is>
          <t>Hi Callum, congrats on the round with KBR and Databricks.
A foundation model for a whole plant is a bold scope.
Would be good to connect.</t>
        </is>
      </c>
      <c r="U36" s="7" t="inlineStr">
        <is>
          <t>Thanks for connecting, Callum.
The Orbital story is mostly on the company page.
Is building your own voice with energy operators on the list?</t>
        </is>
      </c>
      <c r="V36" s="7" t="inlineStr">
        <is>
          <t>16-month gap; headline; operator-facing content line.</t>
        </is>
      </c>
      <c r="W36" s="7" t="inlineStr">
        <is>
          <t>Co-founder Dr Sam Tukra.</t>
        </is>
      </c>
    </row>
    <row r="37" ht="96" customHeight="1">
      <c r="A37" s="7" t="inlineStr">
        <is>
          <t>G036</t>
        </is>
      </c>
      <c r="B37" s="7" t="inlineStr">
        <is>
          <t>02</t>
        </is>
      </c>
      <c r="C37" s="7" t="inlineStr">
        <is>
          <t>2026-09-25</t>
        </is>
      </c>
      <c r="D37" s="7" t="inlineStr">
        <is>
          <t>Lestat McCree</t>
        </is>
      </c>
      <c r="E37" s="7" t="inlineStr">
        <is>
          <t>Co-founder &amp; CEO</t>
        </is>
      </c>
      <c r="F37" s="7" t="inlineStr">
        <is>
          <t>Healf</t>
        </is>
      </c>
      <c r="G37" s="7" t="inlineStr">
        <is>
          <t>UK</t>
        </is>
      </c>
      <c r="H37" s="7" t="inlineStr">
        <is>
          <t>London</t>
        </is>
      </c>
      <c r="I37" s="8" t="inlineStr">
        <is>
          <t>https://www.linkedin.com/in/lestatmccree</t>
        </is>
      </c>
      <c r="J37" s="9" t="inlineStr">
        <is>
          <t>Yes</t>
        </is>
      </c>
      <c r="K37" s="7" t="inlineStr">
        <is>
          <t>Funding led by SEMCAP Beauty &amp; Wellness; GBP 100M+ annualised revenue; expanding to Germany</t>
        </is>
      </c>
      <c r="L37" s="7" t="inlineStr">
        <is>
          <t>2026-08-31</t>
        </is>
      </c>
      <c r="M37" s="10" t="inlineStr">
        <is>
          <t>https://www.globenewswire.com/news-release/2026/08/31/3353334/0/en/semcap-beauty-wellness-leads-funding-round-for-healf.html</t>
        </is>
      </c>
      <c r="N37" s="7" t="inlineStr">
        <is>
          <t>Emerging writer</t>
        </is>
      </c>
      <c r="O37" s="7" t="inlineStr">
        <is>
          <t>2026-01</t>
        </is>
      </c>
      <c r="P37" s="7" t="inlineStr">
        <is>
          <t>Occasional essays (work-life balance, Jan 2026). A piece on AI adoption drew reaction posts from others (Jun 2026). Covered by The Times. Few own posts overall.</t>
        </is>
      </c>
      <c r="Q37" s="7" t="n">
        <v>50</v>
      </c>
      <c r="R37" s="7">
        <f>IF(Q37&gt;=60,"Priority",IF(Q37&gt;=40,"Warm","Nurture"))</f>
        <v/>
      </c>
      <c r="S37" s="7" t="inlineStr">
        <is>
          <t>He writes well when he writes. International expansion plus press momentum is the moment to post weekly.</t>
        </is>
      </c>
      <c r="T37" s="7" t="inlineStr">
        <is>
          <t>Hi Lestat, congrats on the round and the Germany launch.
GBP 100M with under 100 people is a remarkable ratio.
Would be good to connect.</t>
        </is>
      </c>
      <c r="U37" s="7" t="inlineStr">
        <is>
          <t>Thanks for connecting, Lestat.
Your AI adoption piece got people talking, but it's one of only a few posts.
Is a steadier cadence worth it to you now?</t>
        </is>
      </c>
      <c r="V37" s="7" t="inlineStr">
        <is>
          <t>Cadence; German market framing; recurring founder essay.</t>
        </is>
      </c>
      <c r="W37" s="7" t="inlineStr">
        <is>
          <t>Co-founder Max Clarke. Big brand, so expect a comms team.</t>
        </is>
      </c>
    </row>
    <row r="38" ht="96" customHeight="1">
      <c r="A38" s="7" t="inlineStr">
        <is>
          <t>G037</t>
        </is>
      </c>
      <c r="B38" s="7" t="inlineStr">
        <is>
          <t>02</t>
        </is>
      </c>
      <c r="C38" s="7" t="inlineStr">
        <is>
          <t>2026-09-25</t>
        </is>
      </c>
      <c r="D38" s="7" t="inlineStr">
        <is>
          <t>Jon Steinback</t>
        </is>
      </c>
      <c r="E38" s="7" t="inlineStr">
        <is>
          <t>Co-founder &amp; CEO</t>
        </is>
      </c>
      <c r="F38" s="7" t="inlineStr">
        <is>
          <t>Marker</t>
        </is>
      </c>
      <c r="G38" s="7" t="inlineStr">
        <is>
          <t>UK</t>
        </is>
      </c>
      <c r="H38" s="7" t="inlineStr">
        <is>
          <t>London</t>
        </is>
      </c>
      <c r="I38" s="8" t="inlineStr">
        <is>
          <t>https://www.linkedin.com/in/itsmejon</t>
        </is>
      </c>
      <c r="J38" s="9" t="inlineStr">
        <is>
          <t>Yes</t>
        </is>
      </c>
      <c r="K38" s="7" t="inlineStr">
        <is>
          <t>$13M seed led by Index Ventures with LocalGlobe; AI-native word processor</t>
        </is>
      </c>
      <c r="L38" s="7" t="inlineStr">
        <is>
          <t>2026-07-09</t>
        </is>
      </c>
      <c r="M38" s="10" t="inlineStr">
        <is>
          <t>https://tech.eu/2026/07/09/ai-writing-startup-co-founded-by-deepmind-creative-lead-raises-13m-seed-investment/</t>
        </is>
      </c>
      <c r="N38" s="7" t="inlineStr">
        <is>
          <t>Already consistent</t>
        </is>
      </c>
      <c r="O38" s="7" t="inlineStr">
        <is>
          <t>2026-07</t>
        </is>
      </c>
      <c r="P38" s="7" t="inlineStr">
        <is>
          <t>Ex-DeepMind brand and creative lead. Launch posts (Apr and Jul 2026, 16 comments), 'AI writing app fighting AI slop' (Jul 2026). Writes his own posts.</t>
        </is>
      </c>
      <c r="Q38" s="7" t="n">
        <v>40</v>
      </c>
      <c r="R38" s="7">
        <f>IF(Q38&gt;=60,"Priority",IF(Q38&gt;=40,"Warm","Nurture"))</f>
        <v/>
      </c>
      <c r="S38" s="7" t="inlineStr">
        <is>
          <t>He won't want a ghostwriter. Pitch strategy, distribution and time back, not writing.</t>
        </is>
      </c>
      <c r="T38" s="7" t="inlineStr">
        <is>
          <t>Hi Jon, congrats on the Marker launch.
A word processor that writes with you, not for you, is a stance I agree with.
Would be good to connect.</t>
        </is>
      </c>
      <c r="U38" s="7" t="inlineStr">
        <is>
          <t>Thanks for connecting, Jon.
You clearly write your own posts, and should.
Curious whether distribution and cadence are the harder part right now?</t>
        </is>
      </c>
      <c r="V38" s="7" t="inlineStr">
        <is>
          <t>Distribution not writing; cadence; audience of writers vs buyers.</t>
        </is>
      </c>
      <c r="W38" s="7" t="inlineStr">
        <is>
          <t>Low fit for ghostwriting. Only pitch strategy.</t>
        </is>
      </c>
    </row>
    <row r="39" ht="96" customHeight="1">
      <c r="A39" s="7" t="inlineStr">
        <is>
          <t>G038</t>
        </is>
      </c>
      <c r="B39" s="7" t="inlineStr">
        <is>
          <t>02</t>
        </is>
      </c>
      <c r="C39" s="7" t="inlineStr">
        <is>
          <t>2026-09-25</t>
        </is>
      </c>
      <c r="D39" s="7" t="inlineStr">
        <is>
          <t>Stephen Cowley</t>
        </is>
      </c>
      <c r="E39" s="7" t="inlineStr">
        <is>
          <t>Co-founder</t>
        </is>
      </c>
      <c r="F39" s="7" t="inlineStr">
        <is>
          <t>Pharosyn</t>
        </is>
      </c>
      <c r="G39" s="7" t="inlineStr">
        <is>
          <t>UK</t>
        </is>
      </c>
      <c r="H39" s="7" t="inlineStr">
        <is>
          <t>London</t>
        </is>
      </c>
      <c r="I39" s="8" t="inlineStr">
        <is>
          <t>https://www.linkedin.com/in/stephen-cowley-8960a0228</t>
        </is>
      </c>
      <c r="J39" s="9" t="inlineStr">
        <is>
          <t>Yes</t>
        </is>
      </c>
      <c r="K39" s="7" t="inlineStr">
        <is>
          <t>$3M (EUR 2.5M) seed led by Moonfire Ventures, with Entrepreneurs First</t>
        </is>
      </c>
      <c r="L39" s="7" t="inlineStr">
        <is>
          <t>2026-09-04</t>
        </is>
      </c>
      <c r="M39" s="10" t="inlineStr">
        <is>
          <t>https://www.eu-startups.com/2026/09/uk-startup-pharosyn-raises-e2-5-million-for-pharma-competitive-intelligence-platform</t>
        </is>
      </c>
      <c r="N39" s="7" t="inlineStr">
        <is>
          <t>Emerging writer</t>
        </is>
      </c>
      <c r="O39" s="7" t="inlineStr">
        <is>
          <t>2026-07</t>
        </is>
      </c>
      <c r="P39" s="7" t="inlineStr">
        <is>
          <t>Two customer-story posts (Jun and Jul 2026) about onboarding calls and report quality. New to posting.</t>
        </is>
      </c>
      <c r="Q39" s="7" t="n">
        <v>40</v>
      </c>
      <c r="R39" s="7">
        <f>IF(Q39&gt;=60,"Priority",IF(Q39&gt;=40,"Warm","Nurture"))</f>
        <v/>
      </c>
      <c r="S39" s="7" t="inlineStr">
        <is>
          <t>Pharma commercial teams are on LinkedIn. He's started posting customer stories; the gap is consistency.</t>
        </is>
      </c>
      <c r="T39" s="7" t="inlineStr">
        <is>
          <t>Hi Stephen, congrats on the seed.
Competitive intelligence built into pharma commercial teams is an underserved corner.
Would be good to connect.</t>
        </is>
      </c>
      <c r="U39" s="7" t="inlineStr">
        <is>
          <t>Thanks for connecting, Stephen.
You've started posting customer stories, which is the right instinct.
Is keeping that going every week realistic with everything else?</t>
        </is>
      </c>
      <c r="V39" s="7" t="inlineStr">
        <is>
          <t>Cadence; pharma buyer framing; customer-story series.</t>
        </is>
      </c>
      <c r="W39" s="7" t="inlineStr">
        <is>
          <t>Confirm who's CEO (Stephen or Joshua Hampson).</t>
        </is>
      </c>
    </row>
    <row r="40" ht="96" customHeight="1">
      <c r="A40" s="7" t="inlineStr">
        <is>
          <t>G039</t>
        </is>
      </c>
      <c r="B40" s="7" t="inlineStr">
        <is>
          <t>02</t>
        </is>
      </c>
      <c r="C40" s="7" t="inlineStr">
        <is>
          <t>2026-09-25</t>
        </is>
      </c>
      <c r="D40" s="7" t="inlineStr">
        <is>
          <t>Steve Rimmer</t>
        </is>
      </c>
      <c r="E40" s="7" t="inlineStr">
        <is>
          <t>CEO</t>
        </is>
      </c>
      <c r="F40" s="7" t="inlineStr">
        <is>
          <t>Tickets for Good</t>
        </is>
      </c>
      <c r="G40" s="7" t="inlineStr">
        <is>
          <t>UK</t>
        </is>
      </c>
      <c r="H40" s="7" t="inlineStr"/>
      <c r="I40" s="8" t="inlineStr">
        <is>
          <t>https://www.linkedin.com/search/results/people/?keywords=Steve%20Rimmer%20Tickets%20for%20Good</t>
        </is>
      </c>
      <c r="J40" s="9" t="inlineStr">
        <is>
          <t>No</t>
        </is>
      </c>
      <c r="K40" s="7" t="inlineStr">
        <is>
          <t>GBP 3.9M new funding; platform giving NHS workers, teachers and charity staff access to surplus event tickets</t>
        </is>
      </c>
      <c r="L40" s="7" t="inlineStr">
        <is>
          <t>2026-09</t>
        </is>
      </c>
      <c r="M40" s="10" t="inlineStr">
        <is>
          <t>https://www.finsmes.com/2026/09/tickets-for-good-raises-3-9m-in-new-funding.html</t>
        </is>
      </c>
      <c r="N40" s="7" t="inlineStr">
        <is>
          <t>Not indexed</t>
        </is>
      </c>
      <c r="O40" s="7" t="inlineStr"/>
      <c r="P40" s="7" t="inlineStr">
        <is>
          <t>No confirmed own posts. A 2023 post about leaving a role may be his. The company page ran a founder interview (2025).</t>
        </is>
      </c>
      <c r="Q40" s="7" t="n">
        <v>50</v>
      </c>
      <c r="R40" s="7">
        <f>IF(Q40&gt;=60,"Priority",IF(Q40&gt;=40,"Warm","Nurture"))</f>
        <v/>
      </c>
      <c r="S40" s="7" t="inlineStr">
        <is>
          <t>A social-impact brand with a feel-good story. Partners (venues, promoters) and members respond to the founder.</t>
        </is>
      </c>
      <c r="T40" s="7" t="inlineStr">
        <is>
          <t>Hi Steve, congrats on the new funding.
Getting surplus tickets to key workers is a lovely model.
Would be good to connect.</t>
        </is>
      </c>
      <c r="U40" s="7" t="inlineStr">
        <is>
          <t>Thanks for connecting, Steve.
Tickets for Good has the kind of story people share.
Is your own LinkedIn part of how you tell it to venues and promoters?</t>
        </is>
      </c>
      <c r="V40" s="7" t="inlineStr">
        <is>
          <t>Confirm profile; impact stories series; partner-facing content.</t>
        </is>
      </c>
      <c r="W40" s="7" t="inlineStr">
        <is>
          <t>Confirm profile and whether he's the founder.</t>
        </is>
      </c>
    </row>
    <row r="41" ht="96" customHeight="1">
      <c r="A41" s="7" t="inlineStr">
        <is>
          <t>G040</t>
        </is>
      </c>
      <c r="B41" s="7" t="inlineStr">
        <is>
          <t>02</t>
        </is>
      </c>
      <c r="C41" s="7" t="inlineStr">
        <is>
          <t>2026-09-25</t>
        </is>
      </c>
      <c r="D41" s="7" t="inlineStr">
        <is>
          <t>Ismaeel Bashir</t>
        </is>
      </c>
      <c r="E41" s="7" t="inlineStr">
        <is>
          <t>Co-founder &amp; CEO</t>
        </is>
      </c>
      <c r="F41" s="7" t="inlineStr">
        <is>
          <t>Expanse</t>
        </is>
      </c>
      <c r="G41" s="7" t="inlineStr">
        <is>
          <t>UK</t>
        </is>
      </c>
      <c r="H41" s="7" t="inlineStr">
        <is>
          <t>London / US</t>
        </is>
      </c>
      <c r="I41" s="8" t="inlineStr">
        <is>
          <t>https://www.linkedin.com/search/results/people/?keywords=Ismaeel%20Bashir%20Expanse</t>
        </is>
      </c>
      <c r="J41" s="9" t="inlineStr">
        <is>
          <t>No</t>
        </is>
      </c>
      <c r="K41" s="7" t="inlineStr">
        <is>
          <t>EUR 4.5M for a predictive AI infrastructure platform</t>
        </is>
      </c>
      <c r="L41" s="7" t="inlineStr">
        <is>
          <t>2026-09</t>
        </is>
      </c>
      <c r="M41" s="10" t="inlineStr">
        <is>
          <t>https://www.eu-startups.com/2026/09/u-s-and-u-k-based-expanse-raises-e4-5-million-for-predictive-ai-infrastructure-platform</t>
        </is>
      </c>
      <c r="N41" s="7" t="inlineStr">
        <is>
          <t>Not indexed</t>
        </is>
      </c>
      <c r="O41" s="7" t="inlineStr"/>
      <c r="P41" s="7" t="inlineStr">
        <is>
          <t>No own posts indexed.</t>
        </is>
      </c>
      <c r="Q41" s="7" t="n">
        <v>50</v>
      </c>
      <c r="R41" s="7">
        <f>IF(Q41&gt;=60,"Priority",IF(Q41&gt;=40,"Warm","Nurture"))</f>
        <v/>
      </c>
      <c r="S41" s="7" t="inlineStr">
        <is>
          <t>AI infrastructure is noisy. A founder with a clear point of view stands out to buyers and hires in both markets.</t>
        </is>
      </c>
      <c r="T41" s="7" t="inlineStr">
        <is>
          <t>Hi Ismaeel, congrats on the raise.
Predictive AI infrastructure is a busy space. Following Expanse.
Would be good to connect.</t>
        </is>
      </c>
      <c r="U41" s="7" t="inlineStr">
        <is>
          <t>Thanks for connecting, Ismaeel.
With teams in the UK and US, is LinkedIn part of how you want buyers on both sides to know you?</t>
        </is>
      </c>
      <c r="V41" s="7" t="inlineStr">
        <is>
          <t>Confirm profile; point-of-view content line; dual-market framing.</t>
        </is>
      </c>
      <c r="W41" s="7" t="inlineStr">
        <is>
          <t>Confirm profile and base (UK or US).</t>
        </is>
      </c>
    </row>
    <row r="42" ht="96" customHeight="1">
      <c r="A42" s="7" t="inlineStr">
        <is>
          <t>G041</t>
        </is>
      </c>
      <c r="B42" s="7" t="inlineStr">
        <is>
          <t>02</t>
        </is>
      </c>
      <c r="C42" s="7" t="inlineStr">
        <is>
          <t>2026-09-25</t>
        </is>
      </c>
      <c r="D42" s="7" t="inlineStr">
        <is>
          <t>Jason Liao</t>
        </is>
      </c>
      <c r="E42" s="7" t="inlineStr">
        <is>
          <t>Co-founder &amp; CEO</t>
        </is>
      </c>
      <c r="F42" s="7" t="inlineStr">
        <is>
          <t>Mundo AI</t>
        </is>
      </c>
      <c r="G42" s="7" t="inlineStr">
        <is>
          <t>Canada</t>
        </is>
      </c>
      <c r="H42" s="7" t="inlineStr">
        <is>
          <t>Vancouver</t>
        </is>
      </c>
      <c r="I42" s="8" t="inlineStr">
        <is>
          <t>https://www.linkedin.com/search/results/people/?keywords=Jason%20Liao%20Mundo%20AI</t>
        </is>
      </c>
      <c r="J42" s="9" t="inlineStr">
        <is>
          <t>No</t>
        </is>
      </c>
      <c r="K42" s="7" t="inlineStr">
        <is>
          <t>$20M Series A led by GreatPoint Ventures plus a $4M seed; YC; data for AI perception (audio, video)</t>
        </is>
      </c>
      <c r="L42" s="7" t="inlineStr">
        <is>
          <t>2026-09-02</t>
        </is>
      </c>
      <c r="M42" s="10" t="inlineStr">
        <is>
          <t>https://betakit.com/mundo-announces-24-million-usd-to-help-tackle-ais-next-frontier/</t>
        </is>
      </c>
      <c r="N42" s="7" t="inlineStr">
        <is>
          <t>Not indexed</t>
        </is>
      </c>
      <c r="O42" s="7" t="inlineStr"/>
      <c r="P42" s="7" t="inlineStr">
        <is>
          <t>No own posts indexed. Co-founder Garreth Lee posted the founding news (Feb 2025).</t>
        </is>
      </c>
      <c r="Q42" s="7" t="n">
        <v>50</v>
      </c>
      <c r="R42" s="7">
        <f>IF(Q42&gt;=60,"Priority",IF(Q42&gt;=40,"Warm","Nurture"))</f>
        <v/>
      </c>
      <c r="S42" s="7" t="inlineStr">
        <is>
          <t>AI data infrastructure buyers (labs, model teams) need to trust the team. A CEO voice on perception data is thin in the market.</t>
        </is>
      </c>
      <c r="T42" s="7" t="inlineStr">
        <is>
          <t>Hi Jason, congrats on the Series A.
Training data for AI beyond text is where a lot of the next gains are.
Would be good to connect.</t>
        </is>
      </c>
      <c r="U42" s="7" t="inlineStr">
        <is>
          <t>Thanks for connecting, Jason.
Most of Mundo's story online comes from your co-founders or press.
Is your own voice something you want to build now?</t>
        </is>
      </c>
      <c r="V42" s="7" t="inlineStr">
        <is>
          <t>Confirm profile; research-to-buyer content line; hiring angle.</t>
        </is>
      </c>
      <c r="W42" s="7" t="inlineStr">
        <is>
          <t>Confirm profile.</t>
        </is>
      </c>
    </row>
    <row r="43" ht="96" customHeight="1">
      <c r="A43" s="7" t="inlineStr">
        <is>
          <t>G042</t>
        </is>
      </c>
      <c r="B43" s="7" t="inlineStr">
        <is>
          <t>02</t>
        </is>
      </c>
      <c r="C43" s="7" t="inlineStr">
        <is>
          <t>2026-09-25</t>
        </is>
      </c>
      <c r="D43" s="7" t="inlineStr">
        <is>
          <t>David S. Bennahum</t>
        </is>
      </c>
      <c r="E43" s="7" t="inlineStr">
        <is>
          <t>Co-founder &amp; CEO</t>
        </is>
      </c>
      <c r="F43" s="7" t="inlineStr">
        <is>
          <t>Onix</t>
        </is>
      </c>
      <c r="G43" s="7" t="inlineStr">
        <is>
          <t>Canada</t>
        </is>
      </c>
      <c r="H43" s="7" t="inlineStr">
        <is>
          <t>Ottawa</t>
        </is>
      </c>
      <c r="I43" s="8" t="inlineStr">
        <is>
          <t>https://www.linkedin.com/in/dbennahum</t>
        </is>
      </c>
      <c r="J43" s="9" t="inlineStr">
        <is>
          <t>Yes</t>
        </is>
      </c>
      <c r="K43" s="7" t="inlineStr">
        <is>
          <t>$5M pre-seed led by Alpha Edison; AI versions of health and wellness experts</t>
        </is>
      </c>
      <c r="L43" s="7" t="inlineStr">
        <is>
          <t>2026-09-10</t>
        </is>
      </c>
      <c r="M43" s="10" t="inlineStr">
        <is>
          <t>https://betakit.com/onix-raises-5-million-usd-to-create-ai-library-of-health-and-wellness-experts/</t>
        </is>
      </c>
      <c r="N43" s="7" t="inlineStr">
        <is>
          <t>Emerging writer</t>
        </is>
      </c>
      <c r="O43" s="7" t="inlineStr">
        <is>
          <t>2025-09</t>
        </is>
      </c>
      <c r="P43" s="7" t="inlineStr">
        <is>
          <t>Posts every few months (gaming, Web3, NotebookLM, a Delaware court post, Onix launch Sep 2025). Former WIRED contributing editor.</t>
        </is>
      </c>
      <c r="Q43" s="7" t="n">
        <v>40</v>
      </c>
      <c r="R43" s="7">
        <f>IF(Q43&gt;=60,"Priority",IF(Q43&gt;=40,"Warm","Nurture"))</f>
        <v/>
      </c>
      <c r="S43" s="7" t="inlineStr">
        <is>
          <t>He can write. His product is built on experts' voices, so a strong founder voice fits. Pitch cadence and strategy.</t>
        </is>
      </c>
      <c r="T43" s="7" t="inlineStr">
        <is>
          <t>Hi David, congrats on the pre-seed.
AI built on licensed expert knowledge instead of the average internet is a clear stance.
Would be good to connect.</t>
        </is>
      </c>
      <c r="U43" s="7" t="inlineStr">
        <is>
          <t>Thanks for connecting, David.
Onix is built on experts owning their voice. Yours shows up every few months.
Is a steadier cadence worth it with the raise done?</t>
        </is>
      </c>
      <c r="V43" s="7" t="inlineStr">
        <is>
          <t>Cadence; Onix positioning in headline; expert-partner content.</t>
        </is>
      </c>
      <c r="W43" s="7" t="inlineStr">
        <is>
          <t>Writer himself, so pitch strategy over ghostwriting.</t>
        </is>
      </c>
    </row>
    <row r="44" ht="96" customHeight="1">
      <c r="A44" s="7" t="inlineStr">
        <is>
          <t>G043</t>
        </is>
      </c>
      <c r="B44" s="7" t="inlineStr">
        <is>
          <t>02</t>
        </is>
      </c>
      <c r="C44" s="7" t="inlineStr">
        <is>
          <t>2026-09-25</t>
        </is>
      </c>
      <c r="D44" s="7" t="inlineStr">
        <is>
          <t>Kyle Braatz</t>
        </is>
      </c>
      <c r="E44" s="7" t="inlineStr">
        <is>
          <t>Co-founder &amp; CEO</t>
        </is>
      </c>
      <c r="F44" s="7" t="inlineStr">
        <is>
          <t>Fullscript</t>
        </is>
      </c>
      <c r="G44" s="7" t="inlineStr">
        <is>
          <t>Canada</t>
        </is>
      </c>
      <c r="H44" s="7" t="inlineStr">
        <is>
          <t>Ottawa</t>
        </is>
      </c>
      <c r="I44" s="8" t="inlineStr">
        <is>
          <t>https://www.linkedin.com/in/braatzy</t>
        </is>
      </c>
      <c r="J44" s="9" t="inlineStr">
        <is>
          <t>Yes</t>
        </is>
      </c>
      <c r="K44" s="7" t="inlineStr">
        <is>
          <t>Investment from L Catterton and Altas Partners</t>
        </is>
      </c>
      <c r="L44" s="7" t="inlineStr">
        <is>
          <t>2026-09</t>
        </is>
      </c>
      <c r="M44" s="10" t="inlineStr">
        <is>
          <t>https://www.finsmes.com/2026/09/fullscript-receives-investment.html</t>
        </is>
      </c>
      <c r="N44" s="7" t="inlineStr">
        <is>
          <t>Company-news voice</t>
        </is>
      </c>
      <c r="O44" s="7" t="inlineStr">
        <is>
          <t>2026-02</t>
        </is>
      </c>
      <c r="P44" s="7" t="inlineStr">
        <is>
          <t>Posts two to four times a year: labs launch, Fullscript Wrapped, engineering 'Builder's Corner' (Feb 2026), the $300M raise (2021, 43 comments). Ottawa CEO of the Year 2022.</t>
        </is>
      </c>
      <c r="Q44" s="7" t="n">
        <v>50</v>
      </c>
      <c r="R44" s="7">
        <f>IF(Q44&gt;=60,"Priority",IF(Q44&gt;=40,"Warm","Nurture"))</f>
        <v/>
      </c>
      <c r="S44" s="7" t="inlineStr">
        <is>
          <t>Large company with a practitioner audience. A CEO point of view on integrative health would lift a company-news feed.</t>
        </is>
      </c>
      <c r="T44" s="7" t="inlineStr">
        <is>
          <t>Hi Kyle, congrats on the L Catterton and Altas investment.
Fullscript's growth out of Ottawa has been fun to follow.
Would be good to connect.</t>
        </is>
      </c>
      <c r="U44" s="7" t="inlineStr">
        <is>
          <t>Thanks for connecting, Kyle.
Your feed is mostly Fullscript updates.
Is a stronger personal point of view something you'd want now?</t>
        </is>
      </c>
      <c r="V44" s="7" t="inlineStr">
        <is>
          <t>Company-news only; practitioner-facing content line; cadence.</t>
        </is>
      </c>
      <c r="W44" s="7" t="inlineStr">
        <is>
          <t>Likely has an in-house comms team. Pitch executive content support.</t>
        </is>
      </c>
    </row>
    <row r="45" ht="96" customHeight="1">
      <c r="A45" s="7" t="inlineStr">
        <is>
          <t>G044</t>
        </is>
      </c>
      <c r="B45" s="7" t="inlineStr">
        <is>
          <t>02</t>
        </is>
      </c>
      <c r="C45" s="7" t="inlineStr">
        <is>
          <t>2026-09-25</t>
        </is>
      </c>
      <c r="D45" s="7" t="inlineStr">
        <is>
          <t>LP Maurice</t>
        </is>
      </c>
      <c r="E45" s="7" t="inlineStr">
        <is>
          <t>Co-founder &amp; CEO</t>
        </is>
      </c>
      <c r="F45" s="7" t="inlineStr">
        <is>
          <t>Busbud / Terra Mobility</t>
        </is>
      </c>
      <c r="G45" s="7" t="inlineStr">
        <is>
          <t>Canada</t>
        </is>
      </c>
      <c r="H45" s="7" t="inlineStr">
        <is>
          <t>Montreal</t>
        </is>
      </c>
      <c r="I45" s="8" t="inlineStr">
        <is>
          <t>https://www.linkedin.com/in/lmaurice</t>
        </is>
      </c>
      <c r="J45" s="9" t="inlineStr">
        <is>
          <t>Yes</t>
        </is>
      </c>
      <c r="K45" s="7" t="inlineStr">
        <is>
          <t>US$40M financing from Vista Credit Partners and launch of parent company Terra Mobility</t>
        </is>
      </c>
      <c r="L45" s="7" t="inlineStr">
        <is>
          <t>2026-08</t>
        </is>
      </c>
      <c r="M45" s="10" t="inlineStr">
        <is>
          <t>https://www.finsmes.com/2026/08/busbud-raises-40m-in-funding.html</t>
        </is>
      </c>
      <c r="N45" s="7" t="inlineStr">
        <is>
          <t>Went quiet</t>
        </is>
      </c>
      <c r="O45" s="7" t="inlineStr">
        <is>
          <t>2024-05</t>
        </is>
      </c>
      <c r="P45" s="7" t="inlineStr">
        <is>
          <t>Strong engagement when he posts: $11M raise (60 comments), LatAm (64 comments), Betterez deal, Africa B2B (May 2024). Nothing indexed since.</t>
        </is>
      </c>
      <c r="Q45" s="7" t="n">
        <v>60</v>
      </c>
      <c r="R45" s="7">
        <f>IF(Q45&gt;=60,"Priority",IF(Q45&gt;=40,"Warm","Nurture"))</f>
        <v/>
      </c>
      <c r="S45" s="7" t="inlineStr">
        <is>
          <t>He knows posting works. A new parent company is the moment to restart.</t>
        </is>
      </c>
      <c r="T45" s="7" t="inlineStr">
        <is>
          <t>Hi LP, congrats on the financing and the Terra Mobility launch.
Busbud's reach into LatAm and Africa is impressive.
Would be good to connect.</t>
        </is>
      </c>
      <c r="U45" s="7" t="inlineStr">
        <is>
          <t>Thanks for connecting, LP.
Your LatAm and Africa posts got real engagement, then things went quiet.
With Terra Mobility launching, is restarting on the list?</t>
        </is>
      </c>
      <c r="V45" s="7" t="inlineStr">
        <is>
          <t>Two-year gap; Terra Mobility not in headline (check); global mobility content line.</t>
        </is>
      </c>
      <c r="W45" s="7" t="inlineStr">
        <is>
          <t>Montreal. Offer French.</t>
        </is>
      </c>
    </row>
    <row r="46" ht="96" customHeight="1">
      <c r="A46" s="7" t="inlineStr">
        <is>
          <t>G045</t>
        </is>
      </c>
      <c r="B46" s="7" t="inlineStr">
        <is>
          <t>02</t>
        </is>
      </c>
      <c r="C46" s="7" t="inlineStr">
        <is>
          <t>2026-09-25</t>
        </is>
      </c>
      <c r="D46" s="7" t="inlineStr">
        <is>
          <t>Stéphane Garneau</t>
        </is>
      </c>
      <c r="E46" s="7" t="inlineStr">
        <is>
          <t>President &amp; CEO</t>
        </is>
      </c>
      <c r="F46" s="7" t="inlineStr">
        <is>
          <t>Micrologic</t>
        </is>
      </c>
      <c r="G46" s="7" t="inlineStr">
        <is>
          <t>Canada</t>
        </is>
      </c>
      <c r="H46" s="7" t="inlineStr">
        <is>
          <t>Montreal</t>
        </is>
      </c>
      <c r="I46" s="8" t="inlineStr">
        <is>
          <t>https://www.linkedin.com/in/sgarneau</t>
        </is>
      </c>
      <c r="J46" s="9" t="inlineStr">
        <is>
          <t>Yes</t>
        </is>
      </c>
      <c r="K46" s="7" t="inlineStr">
        <is>
          <t>$45M from Fonds de solidarité FTQ and Investissement Québec for sovereign cloud services</t>
        </is>
      </c>
      <c r="L46" s="7" t="inlineStr">
        <is>
          <t>2026</t>
        </is>
      </c>
      <c r="M46" s="10" t="inlineStr">
        <is>
          <t>https://betakit.com/micrologic-raises-45-million-for-sovereign-cloud-services/</t>
        </is>
      </c>
      <c r="N46" s="7" t="inlineStr">
        <is>
          <t>Went quiet</t>
        </is>
      </c>
      <c r="O46" s="7" t="inlineStr">
        <is>
          <t>2024-05</t>
        </is>
      </c>
      <c r="P46" s="7" t="inlineStr">
        <is>
          <t>Posts in French on sovereign cloud, culture and HR (2022 to 2024), a 2023 year-in-review, CEO of the Year 2023. Nothing indexed since May 2024.</t>
        </is>
      </c>
      <c r="Q46" s="7" t="n">
        <v>50</v>
      </c>
      <c r="R46" s="7">
        <f>IF(Q46&gt;=60,"Priority",IF(Q46&gt;=40,"Warm","Nurture"))</f>
        <v/>
      </c>
      <c r="S46" s="7" t="inlineStr">
        <is>
          <t>Sovereign cloud is a live policy topic. A CEO voice in French and English positions Micrologic with public-sector buyers.</t>
        </is>
      </c>
      <c r="T46" s="7" t="inlineStr">
        <is>
          <t>Bonjour Stéphane, félicitations pour le financement.
Le cloud souverain est un sujet de plus en plus important.
Au plaisir d'échanger.</t>
        </is>
      </c>
      <c r="U46" s="7" t="inlineStr">
        <is>
          <t>Merci pour la connexion, Stéphane.
Vous publiiez régulièrement sur le cloud souverain, puis plus rien depuis 2024.
Est-ce que reprendre fait partie des plans?</t>
        </is>
      </c>
      <c r="V46" s="7" t="inlineStr">
        <is>
          <t>Two-year gap; bilingual content; public-sector buyer framing.</t>
        </is>
      </c>
      <c r="W46" s="7" t="inlineStr">
        <is>
          <t>Confirm the funding date before sending. Write in French.</t>
        </is>
      </c>
    </row>
    <row r="47" ht="96" customHeight="1">
      <c r="A47" s="7" t="inlineStr">
        <is>
          <t>G046</t>
        </is>
      </c>
      <c r="B47" s="7" t="inlineStr">
        <is>
          <t>02</t>
        </is>
      </c>
      <c r="C47" s="7" t="inlineStr">
        <is>
          <t>2026-09-25</t>
        </is>
      </c>
      <c r="D47" s="7" t="inlineStr">
        <is>
          <t>Sanja Fidler</t>
        </is>
      </c>
      <c r="E47" s="7" t="inlineStr">
        <is>
          <t>Co-founder &amp; CEO</t>
        </is>
      </c>
      <c r="F47" s="7" t="inlineStr">
        <is>
          <t>Veeda AI</t>
        </is>
      </c>
      <c r="G47" s="7" t="inlineStr">
        <is>
          <t>Canada</t>
        </is>
      </c>
      <c r="H47" s="7" t="inlineStr">
        <is>
          <t>Toronto</t>
        </is>
      </c>
      <c r="I47" s="8" t="inlineStr">
        <is>
          <t>https://www.linkedin.com/in/sanja-fidler-2846a1a</t>
        </is>
      </c>
      <c r="J47" s="9" t="inlineStr">
        <is>
          <t>Yes</t>
        </is>
      </c>
      <c r="K47" s="7" t="inlineStr">
        <is>
          <t>$90M+ seed from Khosla Ventures and Radical Ventures; left NVIDIA (VP AI research) to found Veeda</t>
        </is>
      </c>
      <c r="L47" s="7" t="inlineStr">
        <is>
          <t>2026-08</t>
        </is>
      </c>
      <c r="M47" s="10" t="inlineStr">
        <is>
          <t>https://www.finsmes.com/2026/08/veeda-innovation-raises-over-90m-in-seed-funding.html</t>
        </is>
      </c>
      <c r="N47" s="7" t="inlineStr">
        <is>
          <t>Research voice</t>
        </is>
      </c>
      <c r="O47" s="7" t="inlineStr">
        <is>
          <t>2025-12</t>
        </is>
      </c>
      <c r="P47" s="7" t="inlineStr">
        <is>
          <t>Posts research releases from NVIDIA a few times a year (40 comments on one in Sep 2025). Last indexed Dec 2025, before Veeda.</t>
        </is>
      </c>
      <c r="Q47" s="7" t="n">
        <v>50</v>
      </c>
      <c r="R47" s="7">
        <f>IF(Q47&gt;=60,"Priority",IF(Q47&gt;=40,"Warm","Nurture"))</f>
        <v/>
      </c>
      <c r="S47" s="7" t="inlineStr">
        <is>
          <t>From NVIDIA researcher to founder. Hiring world-class researchers depends on her voice.</t>
        </is>
      </c>
      <c r="T47" s="7" t="inlineStr">
        <is>
          <t>Hi Sanja, congrats on launching Veeda.
World models for physical reality is a big bet with the right team behind it.
Would be good to connect.</t>
        </is>
      </c>
      <c r="U47" s="7" t="inlineStr">
        <is>
          <t>Thanks for connecting, Sanja.
Your feed has been NVIDIA research. Veeda is a new story.
Is your LinkedIn part of how you want to recruit for it?</t>
        </is>
      </c>
      <c r="V47" s="7" t="inlineStr">
        <is>
          <t>Headline and feed still NVIDIA (check); founder narrative; research hiring content.</t>
        </is>
      </c>
      <c r="W47" s="7" t="inlineStr">
        <is>
          <t>High profile. Low odds, high value.</t>
        </is>
      </c>
    </row>
    <row r="48" ht="96" customHeight="1">
      <c r="A48" s="7" t="inlineStr">
        <is>
          <t>G047</t>
        </is>
      </c>
      <c r="B48" s="7" t="inlineStr">
        <is>
          <t>02</t>
        </is>
      </c>
      <c r="C48" s="7" t="inlineStr">
        <is>
          <t>2026-09-25</t>
        </is>
      </c>
      <c r="D48" s="7" t="inlineStr">
        <is>
          <t>Kimia Hamidi</t>
        </is>
      </c>
      <c r="E48" s="7" t="inlineStr">
        <is>
          <t>Co-founder &amp; CEO</t>
        </is>
      </c>
      <c r="F48" s="7" t="inlineStr">
        <is>
          <t>NationGraph</t>
        </is>
      </c>
      <c r="G48" s="7" t="inlineStr">
        <is>
          <t>Canada</t>
        </is>
      </c>
      <c r="H48" s="7" t="inlineStr">
        <is>
          <t>Toronto / SF</t>
        </is>
      </c>
      <c r="I48" s="8" t="inlineStr">
        <is>
          <t>https://www.linkedin.com/in/hkimia</t>
        </is>
      </c>
      <c r="J48" s="9" t="inlineStr">
        <is>
          <t>Yes</t>
        </is>
      </c>
      <c r="K48" s="7" t="inlineStr">
        <is>
          <t>$18M Series A led by Menlo Ventures (announced Feb 2026; older than 90 days)</t>
        </is>
      </c>
      <c r="L48" s="7" t="inlineStr">
        <is>
          <t>2026-02-25</t>
        </is>
      </c>
      <c r="M48" s="10" t="inlineStr">
        <is>
          <t>https://www.axios.com/pro/enterprise-software-deals/2026/02/25/govtech-nationgraph-18-million-menlo</t>
        </is>
      </c>
      <c r="N48" s="7" t="inlineStr">
        <is>
          <t>Emerging writer</t>
        </is>
      </c>
      <c r="O48" s="7" t="inlineStr">
        <is>
          <t>2026-04</t>
        </is>
      </c>
      <c r="P48" s="7" t="inlineStr">
        <is>
          <t>Product and fundraise posts: Feb 2025 launch (82 comments), $4.5M (Aug 2025), product post (Apr 2026).</t>
        </is>
      </c>
      <c r="Q48" s="7" t="n">
        <v>20</v>
      </c>
      <c r="R48" s="7">
        <f>IF(Q48&gt;=60,"Priority",IF(Q48&gt;=40,"Warm","Nurture"))</f>
        <v/>
      </c>
      <c r="S48" s="7" t="inlineStr">
        <is>
          <t>Govtech sales need trust with public-sector buyers. His posts do well but come a few times a year.</t>
        </is>
      </c>
      <c r="T48" s="7" t="inlineStr">
        <is>
          <t>Hi Kimia, NationGraph's public-sector data work is interesting to follow.
Would be good to connect.</t>
        </is>
      </c>
      <c r="U48" s="7" t="inlineStr">
        <is>
          <t>Thanks for connecting, Kimia.
Your launch post drew a lot of discussion.
Is a regular cadence worth building now?</t>
        </is>
      </c>
      <c r="V48" s="7" t="inlineStr">
        <is>
          <t>Cadence; public-sector buyer content.</t>
        </is>
      </c>
      <c r="W48" s="7" t="inlineStr">
        <is>
          <t>Nurture. Trigger is older than 90 days. Revisit on the next trigger.</t>
        </is>
      </c>
    </row>
    <row r="49" ht="96" customHeight="1">
      <c r="A49" s="7" t="inlineStr">
        <is>
          <t>G048</t>
        </is>
      </c>
      <c r="B49" s="7" t="inlineStr">
        <is>
          <t>02</t>
        </is>
      </c>
      <c r="C49" s="7" t="inlineStr">
        <is>
          <t>2026-09-25</t>
        </is>
      </c>
      <c r="D49" s="7" t="inlineStr">
        <is>
          <t>Darren Hill</t>
        </is>
      </c>
      <c r="E49" s="7" t="inlineStr">
        <is>
          <t>CEO</t>
        </is>
      </c>
      <c r="F49" s="7" t="inlineStr">
        <is>
          <t>Legio</t>
        </is>
      </c>
      <c r="G49" s="7" t="inlineStr">
        <is>
          <t>Canada</t>
        </is>
      </c>
      <c r="H49" s="7" t="inlineStr">
        <is>
          <t>Toronto</t>
        </is>
      </c>
      <c r="I49" s="8" t="inlineStr">
        <is>
          <t>https://www.linkedin.com/search/results/people/?keywords=Darren%20Hill%20Legio</t>
        </is>
      </c>
      <c r="J49" s="9" t="inlineStr">
        <is>
          <t>No</t>
        </is>
      </c>
      <c r="K49" s="7" t="inlineStr">
        <is>
          <t>$5M seed from Klass Capital; AI safety and security operations for higher education</t>
        </is>
      </c>
      <c r="L49" s="7" t="inlineStr">
        <is>
          <t>2026-08</t>
        </is>
      </c>
      <c r="M49" s="10" t="inlineStr">
        <is>
          <t>https://www.finsmes.com/2026/08/legio-raises-5m-in-seed-funding.html</t>
        </is>
      </c>
      <c r="N49" s="7" t="inlineStr">
        <is>
          <t>Not indexed</t>
        </is>
      </c>
      <c r="O49" s="7" t="inlineStr"/>
      <c r="P49" s="7" t="inlineStr">
        <is>
          <t>Several profiles share the name. One 'co-founder' Darren Hill posts on tech adoption, but it's not confirmed.</t>
        </is>
      </c>
      <c r="Q49" s="7" t="n">
        <v>50</v>
      </c>
      <c r="R49" s="7">
        <f>IF(Q49&gt;=60,"Priority",IF(Q49&gt;=40,"Warm","Nurture"))</f>
        <v/>
      </c>
      <c r="S49" s="7" t="inlineStr">
        <is>
          <t>University safety leaders buy on trust. A founder voice on campus safety sets Legio apart.</t>
        </is>
      </c>
      <c r="T49" s="7" t="inlineStr">
        <is>
          <t>Hi Darren, congrats on the seed.
Safety operations built for campuses is a focused bet.
Would be good to connect.</t>
        </is>
      </c>
      <c r="U49" s="7" t="inlineStr">
        <is>
          <t>Thanks for connecting, Darren.
Campus safety leaders are a tight community.
Is LinkedIn part of how you want to reach them?</t>
        </is>
      </c>
      <c r="V49" s="7" t="inlineStr">
        <is>
          <t>Confirm profile; higher-ed buyer content line.</t>
        </is>
      </c>
      <c r="W49" s="7" t="inlineStr">
        <is>
          <t>Confirm profile.</t>
        </is>
      </c>
    </row>
    <row r="50" ht="96" customHeight="1">
      <c r="A50" s="7" t="inlineStr">
        <is>
          <t>G049</t>
        </is>
      </c>
      <c r="B50" s="7" t="inlineStr">
        <is>
          <t>02</t>
        </is>
      </c>
      <c r="C50" s="7" t="inlineStr">
        <is>
          <t>2026-09-25</t>
        </is>
      </c>
      <c r="D50" s="7" t="inlineStr">
        <is>
          <t>Kelvin Cui</t>
        </is>
      </c>
      <c r="E50" s="7" t="inlineStr">
        <is>
          <t>Co-founder &amp; CEO</t>
        </is>
      </c>
      <c r="F50" s="7" t="inlineStr">
        <is>
          <t>Peripheral</t>
        </is>
      </c>
      <c r="G50" s="7" t="inlineStr">
        <is>
          <t>Canada</t>
        </is>
      </c>
      <c r="H50" s="7" t="inlineStr">
        <is>
          <t>Toronto</t>
        </is>
      </c>
      <c r="I50" s="8" t="inlineStr">
        <is>
          <t>https://www.linkedin.com/search/results/people/?keywords=Kelvin%20Cui%20Peripheral</t>
        </is>
      </c>
      <c r="J50" s="9" t="inlineStr">
        <is>
          <t>No</t>
        </is>
      </c>
      <c r="K50" s="7" t="inlineStr">
        <is>
          <t>$8.7M seed led by Inovia Capital and Deloitte Ventures, with Khosla Ventures; AI spatial intelligence for live sports media</t>
        </is>
      </c>
      <c r="L50" s="7" t="inlineStr">
        <is>
          <t>2026-08</t>
        </is>
      </c>
      <c r="M50" s="10" t="inlineStr">
        <is>
          <t>https://www.finsmes.com/2026/08/peripheral-raises-8-7m-in-seed-funding.html</t>
        </is>
      </c>
      <c r="N50" s="7" t="inlineStr">
        <is>
          <t>Not indexed</t>
        </is>
      </c>
      <c r="O50" s="7" t="inlineStr"/>
      <c r="P50" s="7" t="inlineStr">
        <is>
          <t>No recent own posts indexed.</t>
        </is>
      </c>
      <c r="Q50" s="7" t="n">
        <v>50</v>
      </c>
      <c r="R50" s="7">
        <f>IF(Q50&gt;=60,"Priority",IF(Q50&gt;=40,"Warm","Nurture"))</f>
        <v/>
      </c>
      <c r="S50" s="7" t="inlineStr">
        <is>
          <t>Sports media is a visual, shareable space. A founder feed with product clips does double duty as marketing.</t>
        </is>
      </c>
      <c r="T50" s="7" t="inlineStr">
        <is>
          <t>Hi Kelvin, congrats on the seed.
Spatial intelligence for live sports is a fun problem.
Would be good to connect.</t>
        </is>
      </c>
      <c r="U50" s="7" t="inlineStr">
        <is>
          <t>Thanks for connecting, Kelvin.
Your product is very visual, which suits LinkedIn.
Is founder content part of the go-to-market?</t>
        </is>
      </c>
      <c r="V50" s="7" t="inlineStr">
        <is>
          <t>Confirm profile; product-clip content series.</t>
        </is>
      </c>
      <c r="W50" s="7" t="inlineStr">
        <is>
          <t>Confirm profile. Co-founder Mustafa Khan.</t>
        </is>
      </c>
    </row>
    <row r="51" ht="96" customHeight="1">
      <c r="A51" s="7" t="inlineStr">
        <is>
          <t>G050</t>
        </is>
      </c>
      <c r="B51" s="7" t="inlineStr">
        <is>
          <t>02</t>
        </is>
      </c>
      <c r="C51" s="7" t="inlineStr">
        <is>
          <t>2026-09-25</t>
        </is>
      </c>
      <c r="D51" s="7" t="inlineStr">
        <is>
          <t>Sumit Ajwani</t>
        </is>
      </c>
      <c r="E51" s="7" t="inlineStr">
        <is>
          <t>Founder &amp; CEO</t>
        </is>
      </c>
      <c r="F51" s="7" t="inlineStr">
        <is>
          <t>MakeOS (Makers)</t>
        </is>
      </c>
      <c r="G51" s="7" t="inlineStr">
        <is>
          <t>Canada</t>
        </is>
      </c>
      <c r="H51" s="7" t="inlineStr">
        <is>
          <t>Toronto</t>
        </is>
      </c>
      <c r="I51" s="8" t="inlineStr">
        <is>
          <t>https://www.linkedin.com/in/sumitproducer</t>
        </is>
      </c>
      <c r="J51" s="9" t="inlineStr">
        <is>
          <t>Yes</t>
        </is>
      </c>
      <c r="K51" s="7" t="inlineStr">
        <is>
          <t>Launched MakeOS, an AI workspace for producers</t>
        </is>
      </c>
      <c r="L51" s="7" t="inlineStr">
        <is>
          <t>2026-08-17</t>
        </is>
      </c>
      <c r="M51" s="10" t="inlineStr">
        <is>
          <t>https://lbbonline.com/news/sumit-ajwani-makeos-ai-workspace-producers</t>
        </is>
      </c>
      <c r="N51" s="7" t="inlineStr">
        <is>
          <t>Not indexed</t>
        </is>
      </c>
      <c r="O51" s="7" t="inlineStr"/>
      <c r="P51" s="7" t="inlineStr">
        <is>
          <t>Profile found, but no own posts indexed. The Makers company page announced MakeOS.</t>
        </is>
      </c>
      <c r="Q51" s="7" t="n">
        <v>50</v>
      </c>
      <c r="R51" s="7">
        <f>IF(Q51&gt;=60,"Priority",IF(Q51&gt;=40,"Warm","Nurture"))</f>
        <v/>
      </c>
      <c r="S51" s="7" t="inlineStr">
        <is>
          <t>Producers and agencies are a LinkedIn-native audience. A founder voice on AI in production fits.</t>
        </is>
      </c>
      <c r="T51" s="7" t="inlineStr">
        <is>
          <t>Hi Sumit, congrats on launching MakeOS.
An AI workspace built for producers is overdue.
Would be good to connect.</t>
        </is>
      </c>
      <c r="U51" s="7" t="inlineStr">
        <is>
          <t>Thanks for connecting, Sumit.
The launch is on the Makers page. Your own feed is quiet.
Is that something you want to change for MakeOS?</t>
        </is>
      </c>
      <c r="V51" s="7" t="inlineStr">
        <is>
          <t>Founder feed silent; producer-audience content line.</t>
        </is>
      </c>
      <c r="W51" s="7" t="inlineStr">
        <is>
          <t>Launch, not a funding round. Check whether there was a raise.</t>
        </is>
      </c>
    </row>
    <row r="52" ht="96" customHeight="1">
      <c r="A52" s="7" t="inlineStr">
        <is>
          <t>G051</t>
        </is>
      </c>
      <c r="B52" s="7" t="inlineStr">
        <is>
          <t>02</t>
        </is>
      </c>
      <c r="C52" s="7" t="inlineStr">
        <is>
          <t>2026-09-25</t>
        </is>
      </c>
      <c r="D52" s="7" t="inlineStr">
        <is>
          <t>Baker Shogry</t>
        </is>
      </c>
      <c r="E52" s="7" t="inlineStr">
        <is>
          <t>Co-founder &amp; CEO</t>
        </is>
      </c>
      <c r="F52" s="7" t="inlineStr">
        <is>
          <t>Light</t>
        </is>
      </c>
      <c r="G52" s="7" t="inlineStr">
        <is>
          <t>US</t>
        </is>
      </c>
      <c r="H52" s="7" t="inlineStr"/>
      <c r="I52" s="8" t="inlineStr">
        <is>
          <t>https://www.linkedin.com/in/bakershogry</t>
        </is>
      </c>
      <c r="J52" s="9" t="inlineStr">
        <is>
          <t>Yes</t>
        </is>
      </c>
      <c r="K52" s="7" t="inlineStr">
        <is>
          <t>$46M Series A; white-label retail electricity platform</t>
        </is>
      </c>
      <c r="L52" s="7" t="inlineStr">
        <is>
          <t>2026-09</t>
        </is>
      </c>
      <c r="M52" s="10" t="inlineStr">
        <is>
          <t>https://www.finsmes.com/2026/09/light-raises-46m-in-series-a-funding.html</t>
        </is>
      </c>
      <c r="N52" s="7" t="inlineStr">
        <is>
          <t>Near-silent</t>
        </is>
      </c>
      <c r="O52" s="7" t="inlineStr">
        <is>
          <t>2021-12</t>
        </is>
      </c>
      <c r="P52" s="7" t="inlineStr">
        <is>
          <t>One own post indexed (Plaid FinRise, Dec 2021). Co-launched a heat pump project with Calvin French-Owen (2022).</t>
        </is>
      </c>
      <c r="Q52" s="7" t="n">
        <v>50</v>
      </c>
      <c r="R52" s="7">
        <f>IF(Q52&gt;=60,"Priority",IF(Q52&gt;=40,"Warm","Nurture"))</f>
        <v/>
      </c>
      <c r="S52" s="7" t="inlineStr">
        <is>
          <t>Energy is a trust category. A $46M Series A with a near-silent founder is a clear gap.</t>
        </is>
      </c>
      <c r="T52" s="7" t="inlineStr">
        <is>
          <t>Hi Baker, congrats on the Series A.
Letting any brand launch its own electricity plan is a clever wedge.
Would be good to connect.</t>
        </is>
      </c>
      <c r="U52" s="7" t="inlineStr">
        <is>
          <t>Thanks for connecting, Baker.
You've been pretty quiet on here.
With the Series A done, is building a voice in energy something you'd want?</t>
        </is>
      </c>
      <c r="V52" s="7" t="inlineStr">
        <is>
          <t>Near-silent feed; headline; energy-transition content line.</t>
        </is>
      </c>
      <c r="W52" s="7" t="inlineStr"/>
    </row>
    <row r="53" ht="96" customHeight="1">
      <c r="A53" s="7" t="inlineStr">
        <is>
          <t>G052</t>
        </is>
      </c>
      <c r="B53" s="7" t="inlineStr">
        <is>
          <t>02</t>
        </is>
      </c>
      <c r="C53" s="7" t="inlineStr">
        <is>
          <t>2026-09-25</t>
        </is>
      </c>
      <c r="D53" s="7" t="inlineStr">
        <is>
          <t>Guy Shahar</t>
        </is>
      </c>
      <c r="E53" s="7" t="inlineStr">
        <is>
          <t>Co-founder &amp; CEO</t>
        </is>
      </c>
      <c r="F53" s="7" t="inlineStr">
        <is>
          <t>Blee</t>
        </is>
      </c>
      <c r="G53" s="7" t="inlineStr">
        <is>
          <t>US</t>
        </is>
      </c>
      <c r="H53" s="7" t="inlineStr"/>
      <c r="I53" s="8" t="inlineStr">
        <is>
          <t>https://www.linkedin.com/in/guy-shahar</t>
        </is>
      </c>
      <c r="J53" s="9" t="inlineStr">
        <is>
          <t>Yes</t>
        </is>
      </c>
      <c r="K53" s="7" t="inlineStr">
        <is>
          <t>$20M Series A; AI marketing compliance; grew 10x in 2025</t>
        </is>
      </c>
      <c r="L53" s="7" t="inlineStr">
        <is>
          <t>2026-09-08</t>
        </is>
      </c>
      <c r="M53" s="10" t="inlineStr">
        <is>
          <t>https://www.finsmes.com/2026/09/blee-raises-20m-in-series-a-funding.html</t>
        </is>
      </c>
      <c r="N53" s="7" t="inlineStr">
        <is>
          <t>Already consistent</t>
        </is>
      </c>
      <c r="O53" s="7" t="inlineStr">
        <is>
          <t>2026-09</t>
        </is>
      </c>
      <c r="P53" s="7" t="inlineStr">
        <is>
          <t>Roughly monthly since 2025: NerdWallet partnership, Figma plugin, 10x growth hiring post, case studies, Series A (8 Sep 2026).</t>
        </is>
      </c>
      <c r="Q53" s="7" t="n">
        <v>40</v>
      </c>
      <c r="R53" s="7">
        <f>IF(Q53&gt;=60,"Priority",IF(Q53&gt;=40,"Warm","Nurture"))</f>
        <v/>
      </c>
      <c r="S53" s="7" t="inlineStr">
        <is>
          <t>Already posting. Pitch reach and time back as the company scales.</t>
        </is>
      </c>
      <c r="T53" s="7" t="inlineStr">
        <is>
          <t>Hi Guy, congrats on the Series A.
The NerdWallet partnership was a strong proof point for Blee.
Would be good to connect.</t>
        </is>
      </c>
      <c r="U53" s="7" t="inlineStr">
        <is>
          <t>Thanks for connecting, Guy.
You post more consistently than most founders.
How much of your week does it take right now?</t>
        </is>
      </c>
      <c r="V53" s="7" t="inlineStr">
        <is>
          <t>Reach vs frequency; repurposing; compliance-leader audience.</t>
        </is>
      </c>
      <c r="W53" s="7" t="inlineStr">
        <is>
          <t>Active in the last 30 days.</t>
        </is>
      </c>
    </row>
    <row r="54" ht="96" customHeight="1">
      <c r="A54" s="7" t="inlineStr">
        <is>
          <t>G053</t>
        </is>
      </c>
      <c r="B54" s="7" t="inlineStr">
        <is>
          <t>02</t>
        </is>
      </c>
      <c r="C54" s="7" t="inlineStr">
        <is>
          <t>2026-09-25</t>
        </is>
      </c>
      <c r="D54" s="7" t="inlineStr">
        <is>
          <t>Michael LaFramboise</t>
        </is>
      </c>
      <c r="E54" s="7" t="inlineStr">
        <is>
          <t>Co-founder &amp; CEO</t>
        </is>
      </c>
      <c r="F54" s="7" t="inlineStr">
        <is>
          <t>Aurelius Systems</t>
        </is>
      </c>
      <c r="G54" s="7" t="inlineStr">
        <is>
          <t>US</t>
        </is>
      </c>
      <c r="H54" s="7" t="inlineStr">
        <is>
          <t>San Francisco</t>
        </is>
      </c>
      <c r="I54" s="8" t="inlineStr">
        <is>
          <t>https://www.linkedin.com/in/michael-laframboise</t>
        </is>
      </c>
      <c r="J54" s="9" t="inlineStr">
        <is>
          <t>Yes</t>
        </is>
      </c>
      <c r="K54" s="7" t="inlineStr">
        <is>
          <t>$40M Series A; directed-energy counter-drone systems</t>
        </is>
      </c>
      <c r="L54" s="7" t="inlineStr">
        <is>
          <t>2026-08-05</t>
        </is>
      </c>
      <c r="M54" s="10" t="inlineStr">
        <is>
          <t>https://www.finsmes.com/2026/08/aurelius-systems-raises-40m-in-series-a-funding.html</t>
        </is>
      </c>
      <c r="N54" s="7" t="inlineStr">
        <is>
          <t>Emerging writer</t>
        </is>
      </c>
      <c r="O54" s="7" t="inlineStr">
        <is>
          <t>2026-04</t>
        </is>
      </c>
      <c r="P54" s="7" t="inlineStr">
        <is>
          <t>Posts every one to three months: 'our startup shoots down drones with lasers' (Feb 2025), DragonFire (Jul 2025), careers, Archimedes manufacturing (Apr 2026).</t>
        </is>
      </c>
      <c r="Q54" s="7" t="n">
        <v>40</v>
      </c>
      <c r="R54" s="7">
        <f>IF(Q54&gt;=60,"Priority",IF(Q54&gt;=40,"Warm","Nurture"))</f>
        <v/>
      </c>
      <c r="S54" s="7" t="inlineStr">
        <is>
          <t>Defence tech buyers and recruits follow founders. He has the voice; cadence and reach are the gap.</t>
        </is>
      </c>
      <c r="T54" s="7" t="inlineStr">
        <is>
          <t>Hi Michael, congrats on the Series A.
US-made directed energy for counter-drone is a timely bet.
Would be good to connect.</t>
        </is>
      </c>
      <c r="U54" s="7" t="inlineStr">
        <is>
          <t>Thanks for connecting, Michael.
Your posts on defence tech get attention when they land.
Is going weekly worth it for hiring and customers?</t>
        </is>
      </c>
      <c r="V54" s="7" t="inlineStr">
        <is>
          <t>Cadence; defence buyer content; hiring series.</t>
        </is>
      </c>
      <c r="W54" s="7" t="inlineStr">
        <is>
          <t>Defence content has rules. Check export and ITAR boundaries.</t>
        </is>
      </c>
    </row>
    <row r="55" ht="96" customHeight="1">
      <c r="A55" s="7" t="inlineStr">
        <is>
          <t>G054</t>
        </is>
      </c>
      <c r="B55" s="7" t="inlineStr">
        <is>
          <t>02</t>
        </is>
      </c>
      <c r="C55" s="7" t="inlineStr">
        <is>
          <t>2026-09-25</t>
        </is>
      </c>
      <c r="D55" s="7" t="inlineStr">
        <is>
          <t>Noah Schochet</t>
        </is>
      </c>
      <c r="E55" s="7" t="inlineStr">
        <is>
          <t>Co-founder &amp; CEO</t>
        </is>
      </c>
      <c r="F55" s="7" t="inlineStr">
        <is>
          <t>TerraFirma</t>
        </is>
      </c>
      <c r="G55" s="7" t="inlineStr">
        <is>
          <t>US</t>
        </is>
      </c>
      <c r="H55" s="7" t="inlineStr">
        <is>
          <t>Austin</t>
        </is>
      </c>
      <c r="I55" s="8" t="inlineStr">
        <is>
          <t>https://www.linkedin.com/in/noahschochet</t>
        </is>
      </c>
      <c r="J55" s="9" t="inlineStr">
        <is>
          <t>Yes</t>
        </is>
      </c>
      <c r="K55" s="7" t="inlineStr">
        <is>
          <t>$100M+ Series A led by Kleiner Perkins; tech-enabled construction</t>
        </is>
      </c>
      <c r="L55" s="7" t="inlineStr">
        <is>
          <t>2026-07-14</t>
        </is>
      </c>
      <c r="M55" s="10" t="inlineStr">
        <is>
          <t>https://www.finsmes.com/2026/07/terrafirma-raises-100m-in-series-a-funding.html</t>
        </is>
      </c>
      <c r="N55" s="7" t="inlineStr">
        <is>
          <t>Emerging writer</t>
        </is>
      </c>
      <c r="O55" s="7" t="inlineStr">
        <is>
          <t>2026-07</t>
        </is>
      </c>
      <c r="P55" s="7" t="inlineStr">
        <is>
          <t>Opinion posts every two to three months in 2026: 'stop shipping software' (Feb), 'the future is already here' (Apr), Series A (Jul).</t>
        </is>
      </c>
      <c r="Q55" s="7" t="n">
        <v>40</v>
      </c>
      <c r="R55" s="7">
        <f>IF(Q55&gt;=60,"Priority",IF(Q55&gt;=40,"Warm","Nurture"))</f>
        <v/>
      </c>
      <c r="S55" s="7" t="inlineStr">
        <is>
          <t>A strong contrarian point of view on construction. More frequency turns it into a category voice.</t>
        </is>
      </c>
      <c r="T55" s="7" t="inlineStr">
        <is>
          <t>Hi Noah, congrats on the Series A.
Saw your 'stop shipping software' post. Not a line I expected from a construction company.
Would be good to connect.</t>
        </is>
      </c>
      <c r="U55" s="7" t="inlineStr">
        <is>
          <t>Thanks for connecting, Noah.
Your posts have a clear point of view. They come every couple of months.
Would going weekly change anything for hiring or deals?</t>
        </is>
      </c>
      <c r="V55" s="7" t="inlineStr">
        <is>
          <t>Cadence; construction-buyer framing; recurring format.</t>
        </is>
      </c>
      <c r="W55" s="7" t="inlineStr"/>
    </row>
    <row r="56" ht="96" customHeight="1">
      <c r="A56" s="7" t="inlineStr">
        <is>
          <t>G055</t>
        </is>
      </c>
      <c r="B56" s="7" t="inlineStr">
        <is>
          <t>02</t>
        </is>
      </c>
      <c r="C56" s="7" t="inlineStr">
        <is>
          <t>2026-09-25</t>
        </is>
      </c>
      <c r="D56" s="7" t="inlineStr">
        <is>
          <t>Christian Bhatia Ondaatje</t>
        </is>
      </c>
      <c r="E56" s="7" t="inlineStr">
        <is>
          <t>CEO</t>
        </is>
      </c>
      <c r="F56" s="7" t="inlineStr">
        <is>
          <t>Aranya</t>
        </is>
      </c>
      <c r="G56" s="7" t="inlineStr">
        <is>
          <t>US</t>
        </is>
      </c>
      <c r="H56" s="7" t="inlineStr"/>
      <c r="I56" s="8" t="inlineStr">
        <is>
          <t>https://www.linkedin.com/in/christianondaatje</t>
        </is>
      </c>
      <c r="J56" s="9" t="inlineStr">
        <is>
          <t>Yes</t>
        </is>
      </c>
      <c r="K56" s="7" t="inlineStr">
        <is>
          <t>$11M; clusterdOS turns bare metal into production clusters in under 48 hours</t>
        </is>
      </c>
      <c r="L56" s="7" t="inlineStr">
        <is>
          <t>2026-09</t>
        </is>
      </c>
      <c r="M56" s="10" t="inlineStr">
        <is>
          <t>https://www.finsmes.com/2026/09/aranya-raises-11m-in-funding.html</t>
        </is>
      </c>
      <c r="N56" s="7" t="inlineStr">
        <is>
          <t>Near-silent</t>
        </is>
      </c>
      <c r="O56" s="7" t="inlineStr">
        <is>
          <t>2024-12</t>
        </is>
      </c>
      <c r="P56" s="7" t="inlineStr">
        <is>
          <t>One own post indexed (Dec 2024). Company announced 'out of stealth' (Apr 2026). Co-founder Aryamika posts more.</t>
        </is>
      </c>
      <c r="Q56" s="7" t="n">
        <v>50</v>
      </c>
      <c r="R56" s="7">
        <f>IF(Q56&gt;=60,"Priority",IF(Q56&gt;=40,"Warm","Nurture"))</f>
        <v/>
      </c>
      <c r="S56" s="7" t="inlineStr">
        <is>
          <t>AI infrastructure buyers need to trust the CEO. Coming out of stealth plus a raise is the moment.</t>
        </is>
      </c>
      <c r="T56" s="7" t="inlineStr">
        <is>
          <t>Hi Christian, congrats on the raise.
Bare metal to production clusters in 48 hours is a strong claim.
Would be good to connect.</t>
        </is>
      </c>
      <c r="U56" s="7" t="inlineStr">
        <is>
          <t>Thanks for connecting, Christian.
Aranya's story is mostly on the company page and your co-founder's feed.
Is your own voice something you want to build now?</t>
        </is>
      </c>
      <c r="V56" s="7" t="inlineStr">
        <is>
          <t>Near-silent; headline; infra-buyer content.</t>
        </is>
      </c>
      <c r="W56" s="7" t="inlineStr">
        <is>
          <t>Co-founders Aryamika Bhatia Ondaatje and Sasivarnan K S.</t>
        </is>
      </c>
    </row>
    <row r="57" ht="96" customHeight="1">
      <c r="A57" s="7" t="inlineStr">
        <is>
          <t>G056</t>
        </is>
      </c>
      <c r="B57" s="7" t="inlineStr">
        <is>
          <t>02</t>
        </is>
      </c>
      <c r="C57" s="7" t="inlineStr">
        <is>
          <t>2026-09-25</t>
        </is>
      </c>
      <c r="D57" s="7" t="inlineStr">
        <is>
          <t>Kaitlyn Albertoli</t>
        </is>
      </c>
      <c r="E57" s="7" t="inlineStr">
        <is>
          <t>Co-founder &amp; CEO</t>
        </is>
      </c>
      <c r="F57" s="7" t="inlineStr">
        <is>
          <t>Buzz Solutions</t>
        </is>
      </c>
      <c r="G57" s="7" t="inlineStr">
        <is>
          <t>US</t>
        </is>
      </c>
      <c r="H57" s="7" t="inlineStr">
        <is>
          <t>Palo Alto</t>
        </is>
      </c>
      <c r="I57" s="8" t="inlineStr">
        <is>
          <t>https://www.linkedin.com/in/kaitlyn-claire-albertoli</t>
        </is>
      </c>
      <c r="J57" s="9" t="inlineStr">
        <is>
          <t>Yes</t>
        </is>
      </c>
      <c r="K57" s="7" t="inlineStr">
        <is>
          <t>$20M Series A led by S3 Ventures; grid inspection AI</t>
        </is>
      </c>
      <c r="L57" s="7" t="inlineStr">
        <is>
          <t>2026-08-04</t>
        </is>
      </c>
      <c r="M57" s="10" t="inlineStr">
        <is>
          <t>https://www.finsmes.com/2026/08/buzz-solutions-raises-20m-in-series-a-funding.html</t>
        </is>
      </c>
      <c r="N57" s="7" t="inlineStr">
        <is>
          <t>Milestone-only</t>
        </is>
      </c>
      <c r="O57" s="7" t="inlineStr">
        <is>
          <t>2026-08</t>
        </is>
      </c>
      <c r="P57" s="7" t="inlineStr">
        <is>
          <t>Posts at milestones and awards: $3.3M round (2022), AI trends (Jan 2024), women in STEM, grid edge (Jan 2025), Series A (Aug 2026). Media interviews (Schwab, Jul 2026).</t>
        </is>
      </c>
      <c r="Q57" s="7" t="n">
        <v>40</v>
      </c>
      <c r="R57" s="7">
        <f>IF(Q57&gt;=60,"Priority",IF(Q57&gt;=40,"Warm","Nurture"))</f>
        <v/>
      </c>
      <c r="S57" s="7" t="inlineStr">
        <is>
          <t>Utilities are a conservative buyer. A steady CEO voice on grid reliability builds the trust that press alone doesn't.</t>
        </is>
      </c>
      <c r="T57" s="7" t="inlineStr">
        <is>
          <t>Hi Kaitlyn, congrats on the Series A.
AI for grid inspection matters more every summer.
Would be good to connect.</t>
        </is>
      </c>
      <c r="U57" s="7" t="inlineStr">
        <is>
          <t>Thanks for connecting, Kaitlyn.
You post at big moments and do interviews well.
Is a steadier cadence for utility buyers worth it now?</t>
        </is>
      </c>
      <c r="V57" s="7" t="inlineStr">
        <is>
          <t>Cadence; utility-buyer content line; interview repurposing.</t>
        </is>
      </c>
      <c r="W57" s="7" t="inlineStr">
        <is>
          <t>Forbes 30 Under 30 with co-founder Vikhyat Chaudhry.</t>
        </is>
      </c>
    </row>
    <row r="58" ht="96" customHeight="1">
      <c r="A58" s="7" t="inlineStr">
        <is>
          <t>G057</t>
        </is>
      </c>
      <c r="B58" s="7" t="inlineStr">
        <is>
          <t>02</t>
        </is>
      </c>
      <c r="C58" s="7" t="inlineStr">
        <is>
          <t>2026-09-25</t>
        </is>
      </c>
      <c r="D58" s="7" t="inlineStr">
        <is>
          <t>Oscar Levy</t>
        </is>
      </c>
      <c r="E58" s="7" t="inlineStr">
        <is>
          <t>Co-founder &amp; CEO</t>
        </is>
      </c>
      <c r="F58" s="7" t="inlineStr">
        <is>
          <t>River Markets</t>
        </is>
      </c>
      <c r="G58" s="7" t="inlineStr">
        <is>
          <t>US</t>
        </is>
      </c>
      <c r="H58" s="7" t="inlineStr"/>
      <c r="I58" s="8" t="inlineStr">
        <is>
          <t>https://www.linkedin.com/in/oscar-levy</t>
        </is>
      </c>
      <c r="J58" s="9" t="inlineStr">
        <is>
          <t>Yes</t>
        </is>
      </c>
      <c r="K58" s="7" t="inlineStr">
        <is>
          <t>$8.5M seed led by Haun Ventures with YC and Coinbase Ventures; prediction market prime brokerage</t>
        </is>
      </c>
      <c r="L58" s="7" t="inlineStr">
        <is>
          <t>2026-08-11</t>
        </is>
      </c>
      <c r="M58" s="10" t="inlineStr">
        <is>
          <t>https://fortune.com/2026/08/11/exclusive-river-markets-seed-round-prediction-market-trading-tools-institutions/</t>
        </is>
      </c>
      <c r="N58" s="7" t="inlineStr">
        <is>
          <t>Emerging writer</t>
        </is>
      </c>
      <c r="O58" s="7" t="inlineStr">
        <is>
          <t>2026-06</t>
        </is>
      </c>
      <c r="P58" s="7" t="inlineStr">
        <is>
          <t>New to posting: launch story (May 2026), a SpaceX bets post (Jun 2026, 10 comments). Interviews on prediction-market infrastructure.</t>
        </is>
      </c>
      <c r="Q58" s="7" t="n">
        <v>40</v>
      </c>
      <c r="R58" s="7">
        <f>IF(Q58&gt;=60,"Priority",IF(Q58&gt;=40,"Warm","Nurture"))</f>
        <v/>
      </c>
      <c r="S58" s="7" t="inlineStr">
        <is>
          <t>Prediction markets are a hot topic. An early, steady voice for institutions sets the category leader.</t>
        </is>
      </c>
      <c r="T58" s="7" t="inlineStr">
        <is>
          <t>Hi Oscar, congrats on the seed.
Prime brokerage for prediction markets is early and interesting.
Would be good to connect.</t>
        </is>
      </c>
      <c r="U58" s="7" t="inlineStr">
        <is>
          <t>Thanks for connecting, Oscar.
You've just started posting.
Is keeping it weekly realistic with a new raise to deploy?</t>
        </is>
      </c>
      <c r="V58" s="7" t="inlineStr">
        <is>
          <t>Cadence; institutional audience framing; market-commentary series.</t>
        </is>
      </c>
      <c r="W58" s="7" t="inlineStr">
        <is>
          <t>Co-founder CTO Antonin Parrot.</t>
        </is>
      </c>
    </row>
    <row r="59" ht="96" customHeight="1">
      <c r="A59" s="7" t="inlineStr">
        <is>
          <t>G058</t>
        </is>
      </c>
      <c r="B59" s="7" t="inlineStr">
        <is>
          <t>02</t>
        </is>
      </c>
      <c r="C59" s="7" t="inlineStr">
        <is>
          <t>2026-09-25</t>
        </is>
      </c>
      <c r="D59" s="7" t="inlineStr">
        <is>
          <t>Adel Badiri</t>
        </is>
      </c>
      <c r="E59" s="7" t="inlineStr">
        <is>
          <t>CEO</t>
        </is>
      </c>
      <c r="F59" s="7" t="inlineStr">
        <is>
          <t>Foundational Industries</t>
        </is>
      </c>
      <c r="G59" s="7" t="inlineStr">
        <is>
          <t>US</t>
        </is>
      </c>
      <c r="H59" s="7" t="inlineStr"/>
      <c r="I59" s="8" t="inlineStr">
        <is>
          <t>https://www.linkedin.com/search/results/people/?keywords=Adel%20Badiri%20Foundational%20Industries</t>
        </is>
      </c>
      <c r="J59" s="9" t="inlineStr">
        <is>
          <t>No</t>
        </is>
      </c>
      <c r="K59" s="7" t="inlineStr">
        <is>
          <t>$25M seed led by BoxGroup and Zigg Ventures; AI-native US factories for data centre hardware</t>
        </is>
      </c>
      <c r="L59" s="7" t="inlineStr">
        <is>
          <t>2026-08-05</t>
        </is>
      </c>
      <c r="M59" s="10" t="inlineStr">
        <is>
          <t>https://www.finsmes.com/2026/08/foundational-industries-raises-25m-in-seed-funding.html</t>
        </is>
      </c>
      <c r="N59" s="7" t="inlineStr">
        <is>
          <t>Not indexed</t>
        </is>
      </c>
      <c r="O59" s="7" t="inlineStr"/>
      <c r="P59" s="7" t="inlineStr">
        <is>
          <t>No own posts indexed.</t>
        </is>
      </c>
      <c r="Q59" s="7" t="n">
        <v>50</v>
      </c>
      <c r="R59" s="7">
        <f>IF(Q59&gt;=60,"Priority",IF(Q59&gt;=40,"Warm","Nurture"))</f>
        <v/>
      </c>
      <c r="S59" s="7" t="inlineStr">
        <is>
          <t>American reshoring plus AI manufacturing is a strong narrative. A quiet founder is leaving it on the table.</t>
        </is>
      </c>
      <c r="T59" s="7" t="inlineStr">
        <is>
          <t>Hi Adel, congrats on the seed.
AI-native factories for data centre hardware in the US is a timely bet.
Would be good to connect.</t>
        </is>
      </c>
      <c r="U59" s="7" t="inlineStr">
        <is>
          <t>Thanks for connecting, Adel.
Reshoring and AI manufacturing is a story people want to follow.
Is your own LinkedIn part of how you tell it?</t>
        </is>
      </c>
      <c r="V59" s="7" t="inlineStr">
        <is>
          <t>Confirm profile; build-in-public factory series; hiring.</t>
        </is>
      </c>
      <c r="W59" s="7" t="inlineStr">
        <is>
          <t>Confirm profile.</t>
        </is>
      </c>
    </row>
    <row r="60" ht="96" customHeight="1">
      <c r="A60" s="7" t="inlineStr">
        <is>
          <t>G059</t>
        </is>
      </c>
      <c r="B60" s="7" t="inlineStr">
        <is>
          <t>02</t>
        </is>
      </c>
      <c r="C60" s="7" t="inlineStr">
        <is>
          <t>2026-09-25</t>
        </is>
      </c>
      <c r="D60" s="7" t="inlineStr">
        <is>
          <t>David Lawrence</t>
        </is>
      </c>
      <c r="E60" s="7" t="inlineStr">
        <is>
          <t>Co-founder &amp; CEO</t>
        </is>
      </c>
      <c r="F60" s="7" t="inlineStr">
        <is>
          <t>Blue Voice</t>
        </is>
      </c>
      <c r="G60" s="7" t="inlineStr">
        <is>
          <t>US</t>
        </is>
      </c>
      <c r="H60" s="7" t="inlineStr">
        <is>
          <t>Boston</t>
        </is>
      </c>
      <c r="I60" s="8" t="inlineStr">
        <is>
          <t>https://www.linkedin.com/search/results/people/?keywords=David%20Lawrence%20Blue%20Voice</t>
        </is>
      </c>
      <c r="J60" s="9" t="inlineStr">
        <is>
          <t>No</t>
        </is>
      </c>
      <c r="K60" s="7" t="inlineStr">
        <is>
          <t>$6M led by SignalFire and Las Olas VC; AI policy guidance for police officers in 225 agencies</t>
        </is>
      </c>
      <c r="L60" s="7" t="inlineStr">
        <is>
          <t>2026-08-31</t>
        </is>
      </c>
      <c r="M60" s="10" t="inlineStr">
        <is>
          <t>https://techcrunch.com/2026/08/31/harvard-law-dropout-raises-6m-for-blue-voice-to-build-a-harvey-for-police-officers/</t>
        </is>
      </c>
      <c r="N60" s="7" t="inlineStr">
        <is>
          <t>Not indexed</t>
        </is>
      </c>
      <c r="O60" s="7" t="inlineStr"/>
      <c r="P60" s="7" t="inlineStr">
        <is>
          <t>No own posts indexed. TechCrunch framed him as a Harvard Law dropout.</t>
        </is>
      </c>
      <c r="Q60" s="7" t="n">
        <v>50</v>
      </c>
      <c r="R60" s="7">
        <f>IF(Q60&gt;=60,"Priority",IF(Q60&gt;=40,"Warm","Nurture"))</f>
        <v/>
      </c>
      <c r="S60" s="7" t="inlineStr">
        <is>
          <t>Public-safety buyers are cautious. A founder who explains why he left law school to build this earns trust with chiefs and councils.</t>
        </is>
      </c>
      <c r="T60" s="7" t="inlineStr">
        <is>
          <t>Hi David, congrats on the raise.
Real-time policy guidance for officers is a thoughtful use of AI.
Would be good to connect.</t>
        </is>
      </c>
      <c r="U60" s="7" t="inlineStr">
        <is>
          <t>Thanks for connecting, David.
Your reason for starting Blue Voice is a story police leaders would read.
Is LinkedIn part of how you want to reach them?</t>
        </is>
      </c>
      <c r="V60" s="7" t="inlineStr">
        <is>
          <t>Confirm profile; origin story; agency-leader content line.</t>
        </is>
      </c>
      <c r="W60" s="7" t="inlineStr">
        <is>
          <t>Confirm profile. Sensitive topic, so keep it measured.</t>
        </is>
      </c>
    </row>
    <row r="61" ht="96" customHeight="1">
      <c r="A61" s="7" t="inlineStr">
        <is>
          <t>G060</t>
        </is>
      </c>
      <c r="B61" s="7" t="inlineStr">
        <is>
          <t>02</t>
        </is>
      </c>
      <c r="C61" s="7" t="inlineStr">
        <is>
          <t>2026-09-25</t>
        </is>
      </c>
      <c r="D61" s="7" t="inlineStr">
        <is>
          <t>Ian McInnis</t>
        </is>
      </c>
      <c r="E61" s="7" t="inlineStr">
        <is>
          <t>Co-founder</t>
        </is>
      </c>
      <c r="F61" s="7" t="inlineStr">
        <is>
          <t>Multiplier</t>
        </is>
      </c>
      <c r="G61" s="7" t="inlineStr">
        <is>
          <t>US</t>
        </is>
      </c>
      <c r="H61" s="7" t="inlineStr">
        <is>
          <t>New York</t>
        </is>
      </c>
      <c r="I61" s="8" t="inlineStr">
        <is>
          <t>https://www.linkedin.com/search/results/people/?keywords=Ian%20McInnis%20Multiplier</t>
        </is>
      </c>
      <c r="J61" s="9" t="inlineStr">
        <is>
          <t>No</t>
        </is>
      </c>
      <c r="K61" s="7" t="inlineStr">
        <is>
          <t>$6M seed; moved HQ to Midtown East, New York</t>
        </is>
      </c>
      <c r="L61" s="7" t="inlineStr">
        <is>
          <t>2026-08</t>
        </is>
      </c>
      <c r="M61" s="10" t="inlineStr">
        <is>
          <t>https://www.finsmes.com/2026/08/multiplier-raises-usd6m-in-seed-funding.html</t>
        </is>
      </c>
      <c r="N61" s="7" t="inlineStr">
        <is>
          <t>Not indexed</t>
        </is>
      </c>
      <c r="O61" s="7" t="inlineStr"/>
      <c r="P61" s="7" t="inlineStr">
        <is>
          <t>No own posts indexed. Co-founder Ryan Winkler posted the launch (May 2026).</t>
        </is>
      </c>
      <c r="Q61" s="7" t="n">
        <v>50</v>
      </c>
      <c r="R61" s="7">
        <f>IF(Q61&gt;=60,"Priority",IF(Q61&gt;=40,"Warm","Nurture"))</f>
        <v/>
      </c>
      <c r="S61" s="7" t="inlineStr">
        <is>
          <t>New York seed-stage team. The founder who posts gets the first hires and the first customers' attention.</t>
        </is>
      </c>
      <c r="T61" s="7" t="inlineStr">
        <is>
          <t>Hi Ian, congrats on the seed and the move to New York.
Following what Multiplier is building.
Would be good to connect.</t>
        </is>
      </c>
      <c r="U61" s="7" t="inlineStr">
        <is>
          <t>Thanks for connecting, Ian.
Ryan's been the voice of the launch so far.
Is building your own presence part of the plan?</t>
        </is>
      </c>
      <c r="V61" s="7" t="inlineStr">
        <is>
          <t>Confirm profile and role; founder-voice split between co-founders.</t>
        </is>
      </c>
      <c r="W61" s="7" t="inlineStr">
        <is>
          <t>Confirm profile and who the CEO is. Co-founders Ben Finch and Ryan Winkler.</t>
        </is>
      </c>
    </row>
  </sheetData>
  <autoFilter ref="A1:W61"/>
  <conditionalFormatting sqref="J2:J261">
    <cfRule type="cellIs" priority="1" operator="equal" dxfId="0">
      <formula>"No"</formula>
    </cfRule>
  </conditionalFormatting>
  <conditionalFormatting sqref="R2:R261">
    <cfRule type="cellIs" priority="2" operator="equal" dxfId="1">
      <formula>"Priority"</formula>
    </cfRule>
  </conditionalFormatting>
  <dataValidations count="1">
    <dataValidation sqref="J2:J261" showDropDown="0" showInputMessage="0" showErrorMessage="0" allowBlank="1" type="list">
      <formula1>=Lists!$C$2:$C$3</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M22" r:id="rId22"/>
    <hyperlink xmlns:r="http://schemas.openxmlformats.org/officeDocument/2006/relationships" ref="I23" r:id="rId23"/>
    <hyperlink xmlns:r="http://schemas.openxmlformats.org/officeDocument/2006/relationships" ref="M23" r:id="rId24"/>
    <hyperlink xmlns:r="http://schemas.openxmlformats.org/officeDocument/2006/relationships" ref="I24" r:id="rId25"/>
    <hyperlink xmlns:r="http://schemas.openxmlformats.org/officeDocument/2006/relationships" ref="M24" r:id="rId26"/>
    <hyperlink xmlns:r="http://schemas.openxmlformats.org/officeDocument/2006/relationships" ref="I25" r:id="rId27"/>
    <hyperlink xmlns:r="http://schemas.openxmlformats.org/officeDocument/2006/relationships" ref="M25" r:id="rId28"/>
    <hyperlink xmlns:r="http://schemas.openxmlformats.org/officeDocument/2006/relationships" ref="I26" r:id="rId29"/>
    <hyperlink xmlns:r="http://schemas.openxmlformats.org/officeDocument/2006/relationships" ref="M26" r:id="rId30"/>
    <hyperlink xmlns:r="http://schemas.openxmlformats.org/officeDocument/2006/relationships" ref="I27" r:id="rId31"/>
    <hyperlink xmlns:r="http://schemas.openxmlformats.org/officeDocument/2006/relationships" ref="M27" r:id="rId32"/>
    <hyperlink xmlns:r="http://schemas.openxmlformats.org/officeDocument/2006/relationships" ref="I28" r:id="rId33"/>
    <hyperlink xmlns:r="http://schemas.openxmlformats.org/officeDocument/2006/relationships" ref="M28" r:id="rId34"/>
    <hyperlink xmlns:r="http://schemas.openxmlformats.org/officeDocument/2006/relationships" ref="I29" r:id="rId35"/>
    <hyperlink xmlns:r="http://schemas.openxmlformats.org/officeDocument/2006/relationships" ref="M29" r:id="rId36"/>
    <hyperlink xmlns:r="http://schemas.openxmlformats.org/officeDocument/2006/relationships" ref="I30" r:id="rId37"/>
    <hyperlink xmlns:r="http://schemas.openxmlformats.org/officeDocument/2006/relationships" ref="M30" r:id="rId38"/>
    <hyperlink xmlns:r="http://schemas.openxmlformats.org/officeDocument/2006/relationships" ref="I31" r:id="rId39"/>
    <hyperlink xmlns:r="http://schemas.openxmlformats.org/officeDocument/2006/relationships" ref="M31" r:id="rId40"/>
    <hyperlink xmlns:r="http://schemas.openxmlformats.org/officeDocument/2006/relationships" ref="I32" r:id="rId41"/>
    <hyperlink xmlns:r="http://schemas.openxmlformats.org/officeDocument/2006/relationships" ref="M32" r:id="rId42"/>
    <hyperlink xmlns:r="http://schemas.openxmlformats.org/officeDocument/2006/relationships" ref="I33" r:id="rId43"/>
    <hyperlink xmlns:r="http://schemas.openxmlformats.org/officeDocument/2006/relationships" ref="M33" r:id="rId44"/>
    <hyperlink xmlns:r="http://schemas.openxmlformats.org/officeDocument/2006/relationships" ref="I34" r:id="rId45"/>
    <hyperlink xmlns:r="http://schemas.openxmlformats.org/officeDocument/2006/relationships" ref="M34" r:id="rId46"/>
    <hyperlink xmlns:r="http://schemas.openxmlformats.org/officeDocument/2006/relationships" ref="I35" r:id="rId47"/>
    <hyperlink xmlns:r="http://schemas.openxmlformats.org/officeDocument/2006/relationships" ref="M35" r:id="rId48"/>
    <hyperlink xmlns:r="http://schemas.openxmlformats.org/officeDocument/2006/relationships" ref="I36" r:id="rId49"/>
    <hyperlink xmlns:r="http://schemas.openxmlformats.org/officeDocument/2006/relationships" ref="M36" r:id="rId50"/>
    <hyperlink xmlns:r="http://schemas.openxmlformats.org/officeDocument/2006/relationships" ref="I37" r:id="rId51"/>
    <hyperlink xmlns:r="http://schemas.openxmlformats.org/officeDocument/2006/relationships" ref="M37" r:id="rId52"/>
    <hyperlink xmlns:r="http://schemas.openxmlformats.org/officeDocument/2006/relationships" ref="I38" r:id="rId53"/>
    <hyperlink xmlns:r="http://schemas.openxmlformats.org/officeDocument/2006/relationships" ref="M38" r:id="rId54"/>
    <hyperlink xmlns:r="http://schemas.openxmlformats.org/officeDocument/2006/relationships" ref="I39" r:id="rId55"/>
    <hyperlink xmlns:r="http://schemas.openxmlformats.org/officeDocument/2006/relationships" ref="M39" r:id="rId56"/>
    <hyperlink xmlns:r="http://schemas.openxmlformats.org/officeDocument/2006/relationships" ref="I40" r:id="rId57"/>
    <hyperlink xmlns:r="http://schemas.openxmlformats.org/officeDocument/2006/relationships" ref="M40" r:id="rId58"/>
    <hyperlink xmlns:r="http://schemas.openxmlformats.org/officeDocument/2006/relationships" ref="I41" r:id="rId59"/>
    <hyperlink xmlns:r="http://schemas.openxmlformats.org/officeDocument/2006/relationships" ref="M41" r:id="rId60"/>
    <hyperlink xmlns:r="http://schemas.openxmlformats.org/officeDocument/2006/relationships" ref="I42" r:id="rId61"/>
    <hyperlink xmlns:r="http://schemas.openxmlformats.org/officeDocument/2006/relationships" ref="M42" r:id="rId62"/>
    <hyperlink xmlns:r="http://schemas.openxmlformats.org/officeDocument/2006/relationships" ref="I43" r:id="rId63"/>
    <hyperlink xmlns:r="http://schemas.openxmlformats.org/officeDocument/2006/relationships" ref="M43" r:id="rId64"/>
    <hyperlink xmlns:r="http://schemas.openxmlformats.org/officeDocument/2006/relationships" ref="I44" r:id="rId65"/>
    <hyperlink xmlns:r="http://schemas.openxmlformats.org/officeDocument/2006/relationships" ref="M44" r:id="rId66"/>
    <hyperlink xmlns:r="http://schemas.openxmlformats.org/officeDocument/2006/relationships" ref="I45" r:id="rId67"/>
    <hyperlink xmlns:r="http://schemas.openxmlformats.org/officeDocument/2006/relationships" ref="M45" r:id="rId68"/>
    <hyperlink xmlns:r="http://schemas.openxmlformats.org/officeDocument/2006/relationships" ref="I46" r:id="rId69"/>
    <hyperlink xmlns:r="http://schemas.openxmlformats.org/officeDocument/2006/relationships" ref="M46" r:id="rId70"/>
    <hyperlink xmlns:r="http://schemas.openxmlformats.org/officeDocument/2006/relationships" ref="I47" r:id="rId71"/>
    <hyperlink xmlns:r="http://schemas.openxmlformats.org/officeDocument/2006/relationships" ref="M47" r:id="rId72"/>
    <hyperlink xmlns:r="http://schemas.openxmlformats.org/officeDocument/2006/relationships" ref="I48" r:id="rId73"/>
    <hyperlink xmlns:r="http://schemas.openxmlformats.org/officeDocument/2006/relationships" ref="M48" r:id="rId74"/>
    <hyperlink xmlns:r="http://schemas.openxmlformats.org/officeDocument/2006/relationships" ref="I49" r:id="rId75"/>
    <hyperlink xmlns:r="http://schemas.openxmlformats.org/officeDocument/2006/relationships" ref="M49" r:id="rId76"/>
    <hyperlink xmlns:r="http://schemas.openxmlformats.org/officeDocument/2006/relationships" ref="I50" r:id="rId77"/>
    <hyperlink xmlns:r="http://schemas.openxmlformats.org/officeDocument/2006/relationships" ref="M50" r:id="rId78"/>
    <hyperlink xmlns:r="http://schemas.openxmlformats.org/officeDocument/2006/relationships" ref="I51" r:id="rId79"/>
    <hyperlink xmlns:r="http://schemas.openxmlformats.org/officeDocument/2006/relationships" ref="M51" r:id="rId80"/>
    <hyperlink xmlns:r="http://schemas.openxmlformats.org/officeDocument/2006/relationships" ref="I52" r:id="rId81"/>
    <hyperlink xmlns:r="http://schemas.openxmlformats.org/officeDocument/2006/relationships" ref="M52" r:id="rId82"/>
    <hyperlink xmlns:r="http://schemas.openxmlformats.org/officeDocument/2006/relationships" ref="I53" r:id="rId83"/>
    <hyperlink xmlns:r="http://schemas.openxmlformats.org/officeDocument/2006/relationships" ref="M53" r:id="rId84"/>
    <hyperlink xmlns:r="http://schemas.openxmlformats.org/officeDocument/2006/relationships" ref="I54" r:id="rId85"/>
    <hyperlink xmlns:r="http://schemas.openxmlformats.org/officeDocument/2006/relationships" ref="M54" r:id="rId86"/>
    <hyperlink xmlns:r="http://schemas.openxmlformats.org/officeDocument/2006/relationships" ref="I55" r:id="rId87"/>
    <hyperlink xmlns:r="http://schemas.openxmlformats.org/officeDocument/2006/relationships" ref="M55" r:id="rId88"/>
    <hyperlink xmlns:r="http://schemas.openxmlformats.org/officeDocument/2006/relationships" ref="I56" r:id="rId89"/>
    <hyperlink xmlns:r="http://schemas.openxmlformats.org/officeDocument/2006/relationships" ref="M56" r:id="rId90"/>
    <hyperlink xmlns:r="http://schemas.openxmlformats.org/officeDocument/2006/relationships" ref="I57" r:id="rId91"/>
    <hyperlink xmlns:r="http://schemas.openxmlformats.org/officeDocument/2006/relationships" ref="M57" r:id="rId92"/>
    <hyperlink xmlns:r="http://schemas.openxmlformats.org/officeDocument/2006/relationships" ref="I58" r:id="rId93"/>
    <hyperlink xmlns:r="http://schemas.openxmlformats.org/officeDocument/2006/relationships" ref="M58" r:id="rId94"/>
    <hyperlink xmlns:r="http://schemas.openxmlformats.org/officeDocument/2006/relationships" ref="I59" r:id="rId95"/>
    <hyperlink xmlns:r="http://schemas.openxmlformats.org/officeDocument/2006/relationships" ref="M59" r:id="rId96"/>
    <hyperlink xmlns:r="http://schemas.openxmlformats.org/officeDocument/2006/relationships" ref="I60" r:id="rId97"/>
    <hyperlink xmlns:r="http://schemas.openxmlformats.org/officeDocument/2006/relationships" ref="M60" r:id="rId98"/>
    <hyperlink xmlns:r="http://schemas.openxmlformats.org/officeDocument/2006/relationships" ref="I61" r:id="rId99"/>
    <hyperlink xmlns:r="http://schemas.openxmlformats.org/officeDocument/2006/relationships" ref="M61" r:id="rId1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10" customWidth="1" min="4" max="4"/>
    <col width="9" customWidth="1" min="5" max="5"/>
    <col width="17" customWidth="1" min="6" max="6"/>
    <col width="10"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0" customWidth="1" min="20" max="20"/>
    <col width="11" customWidth="1" min="21" max="21"/>
    <col width="30" customWidth="1" min="22" max="22"/>
    <col width="12" customWidth="1" min="23" max="23"/>
    <col width="10" customWidth="1" min="24" max="24"/>
    <col width="40" customWidth="1" min="25" max="25"/>
  </cols>
  <sheetData>
    <row r="1" ht="32" customHeight="1">
      <c r="A1" s="6" t="inlineStr">
        <is>
          <t>ID</t>
        </is>
      </c>
      <c r="B1" s="6" t="inlineStr">
        <is>
          <t>Name</t>
        </is>
      </c>
      <c r="C1" s="6" t="inlineStr">
        <is>
          <t>Company</t>
        </is>
      </c>
      <c r="D1" s="6" t="inlineStr">
        <is>
          <t>Region</t>
        </is>
      </c>
      <c r="E1" s="6" t="inlineStr">
        <is>
          <t>Tier</t>
        </is>
      </c>
      <c r="F1" s="6" t="inlineStr">
        <is>
          <t>Activity pattern</t>
        </is>
      </c>
      <c r="G1" s="6" t="inlineStr">
        <is>
          <t>Profile confirmed</t>
        </is>
      </c>
      <c r="H1" s="6" t="inlineStr">
        <is>
          <t>Status</t>
        </is>
      </c>
      <c r="I1" s="6" t="inlineStr">
        <is>
          <t>Warm-up started</t>
        </is>
      </c>
      <c r="J1" s="6" t="inlineStr">
        <is>
          <t>Connection sent</t>
        </is>
      </c>
      <c r="K1" s="6" t="inlineStr">
        <is>
          <t>Accepted</t>
        </is>
      </c>
      <c r="L1" s="6" t="inlineStr">
        <is>
          <t>First DM sent</t>
        </is>
      </c>
      <c r="M1" s="6" t="inlineStr">
        <is>
          <t>FU1 due</t>
        </is>
      </c>
      <c r="N1" s="6" t="inlineStr">
        <is>
          <t>FU1 sent</t>
        </is>
      </c>
      <c r="O1" s="6" t="inlineStr">
        <is>
          <t>FU2 due</t>
        </is>
      </c>
      <c r="P1" s="6" t="inlineStr">
        <is>
          <t>FU2 sent</t>
        </is>
      </c>
      <c r="Q1" s="6" t="inlineStr">
        <is>
          <t>Replied</t>
        </is>
      </c>
      <c r="R1" s="6" t="inlineStr">
        <is>
          <t>Teardown sent</t>
        </is>
      </c>
      <c r="S1" s="6" t="inlineStr">
        <is>
          <t>Call booked</t>
        </is>
      </c>
      <c r="T1" s="6" t="inlineStr">
        <is>
          <t>Call held (Y/N)</t>
        </is>
      </c>
      <c r="U1" s="6" t="inlineStr">
        <is>
          <t>Outcome</t>
        </is>
      </c>
      <c r="V1" s="6" t="inlineStr">
        <is>
          <t>Next action</t>
        </is>
      </c>
      <c r="W1" s="6" t="inlineStr">
        <is>
          <t>Next action date</t>
        </is>
      </c>
      <c r="X1" s="6" t="inlineStr">
        <is>
          <t>Days since last touch</t>
        </is>
      </c>
      <c r="Y1" s="6" t="inlineStr">
        <is>
          <t>Notes</t>
        </is>
      </c>
    </row>
    <row r="2">
      <c r="A2" s="11" t="inlineStr">
        <is>
          <t>G001</t>
        </is>
      </c>
      <c r="B2" s="11">
        <f>IFERROR(INDEX(Leads!$D:$D,MATCH($A2,Leads!$A:$A,0)),"")</f>
        <v/>
      </c>
      <c r="C2" s="11">
        <f>IFERROR(INDEX(Leads!$F:$F,MATCH($A2,Leads!$A:$A,0)),"")</f>
        <v/>
      </c>
      <c r="D2" s="11">
        <f>IFERROR(INDEX(Leads!$G:$G,MATCH($A2,Leads!$A:$A,0)),"")</f>
        <v/>
      </c>
      <c r="E2" s="11">
        <f>IFERROR(INDEX(Leads!$R:$R,MATCH($A2,Leads!$A:$A,0)),"")</f>
        <v/>
      </c>
      <c r="F2" s="11">
        <f>IFERROR(INDEX(Leads!$N:$N,MATCH($A2,Leads!$A:$A,0)),"")</f>
        <v/>
      </c>
      <c r="G2" s="11">
        <f>IFERROR(INDEX(Leads!$J:$J,MATCH($A2,Leads!$A:$A,0)),"")</f>
        <v/>
      </c>
      <c r="H2" s="12" t="inlineStr">
        <is>
          <t>Not started</t>
        </is>
      </c>
      <c r="I2" s="13" t="n"/>
      <c r="J2" s="13" t="n"/>
      <c r="K2" s="13" t="n"/>
      <c r="L2" s="13" t="n"/>
      <c r="M2" s="14">
        <f>IF(L2="","",L2+4)</f>
        <v/>
      </c>
      <c r="N2" s="13" t="n"/>
      <c r="O2" s="14">
        <f>IF(N2="","",N2+6)</f>
        <v/>
      </c>
      <c r="P2" s="13" t="n"/>
      <c r="Q2" s="13" t="n"/>
      <c r="R2" s="13" t="n"/>
      <c r="S2" s="13" t="n"/>
      <c r="T2" s="12" t="n"/>
      <c r="U2" s="12" t="n"/>
      <c r="V2" s="9" t="n"/>
      <c r="W2" s="13" t="n"/>
      <c r="X2" s="11">
        <f>IF(MAX(I2:L2,N2,P2:S2)=0,"",TODAY()-MAX(I2:L2,N2,P2:S2))</f>
        <v/>
      </c>
      <c r="Y2" s="9" t="n"/>
    </row>
    <row r="3">
      <c r="A3" s="11" t="inlineStr">
        <is>
          <t>G002</t>
        </is>
      </c>
      <c r="B3" s="11">
        <f>IFERROR(INDEX(Leads!$D:$D,MATCH($A3,Leads!$A:$A,0)),"")</f>
        <v/>
      </c>
      <c r="C3" s="11">
        <f>IFERROR(INDEX(Leads!$F:$F,MATCH($A3,Leads!$A:$A,0)),"")</f>
        <v/>
      </c>
      <c r="D3" s="11">
        <f>IFERROR(INDEX(Leads!$G:$G,MATCH($A3,Leads!$A:$A,0)),"")</f>
        <v/>
      </c>
      <c r="E3" s="11">
        <f>IFERROR(INDEX(Leads!$R:$R,MATCH($A3,Leads!$A:$A,0)),"")</f>
        <v/>
      </c>
      <c r="F3" s="11">
        <f>IFERROR(INDEX(Leads!$N:$N,MATCH($A3,Leads!$A:$A,0)),"")</f>
        <v/>
      </c>
      <c r="G3" s="11">
        <f>IFERROR(INDEX(Leads!$J:$J,MATCH($A3,Leads!$A:$A,0)),"")</f>
        <v/>
      </c>
      <c r="H3" s="12" t="inlineStr">
        <is>
          <t>Not started</t>
        </is>
      </c>
      <c r="I3" s="13" t="n"/>
      <c r="J3" s="13" t="n"/>
      <c r="K3" s="13" t="n"/>
      <c r="L3" s="13" t="n"/>
      <c r="M3" s="14">
        <f>IF(L3="","",L3+4)</f>
        <v/>
      </c>
      <c r="N3" s="13" t="n"/>
      <c r="O3" s="14">
        <f>IF(N3="","",N3+6)</f>
        <v/>
      </c>
      <c r="P3" s="13" t="n"/>
      <c r="Q3" s="13" t="n"/>
      <c r="R3" s="13" t="n"/>
      <c r="S3" s="13" t="n"/>
      <c r="T3" s="12" t="n"/>
      <c r="U3" s="12" t="n"/>
      <c r="V3" s="9" t="n"/>
      <c r="W3" s="13" t="n"/>
      <c r="X3" s="11">
        <f>IF(MAX(I3:L3,N3,P3:S3)=0,"",TODAY()-MAX(I3:L3,N3,P3:S3))</f>
        <v/>
      </c>
      <c r="Y3" s="9" t="n"/>
    </row>
    <row r="4">
      <c r="A4" s="11" t="inlineStr">
        <is>
          <t>G003</t>
        </is>
      </c>
      <c r="B4" s="11">
        <f>IFERROR(INDEX(Leads!$D:$D,MATCH($A4,Leads!$A:$A,0)),"")</f>
        <v/>
      </c>
      <c r="C4" s="11">
        <f>IFERROR(INDEX(Leads!$F:$F,MATCH($A4,Leads!$A:$A,0)),"")</f>
        <v/>
      </c>
      <c r="D4" s="11">
        <f>IFERROR(INDEX(Leads!$G:$G,MATCH($A4,Leads!$A:$A,0)),"")</f>
        <v/>
      </c>
      <c r="E4" s="11">
        <f>IFERROR(INDEX(Leads!$R:$R,MATCH($A4,Leads!$A:$A,0)),"")</f>
        <v/>
      </c>
      <c r="F4" s="11">
        <f>IFERROR(INDEX(Leads!$N:$N,MATCH($A4,Leads!$A:$A,0)),"")</f>
        <v/>
      </c>
      <c r="G4" s="11">
        <f>IFERROR(INDEX(Leads!$J:$J,MATCH($A4,Leads!$A:$A,0)),"")</f>
        <v/>
      </c>
      <c r="H4" s="12" t="inlineStr">
        <is>
          <t>Not started</t>
        </is>
      </c>
      <c r="I4" s="13" t="n"/>
      <c r="J4" s="13" t="n"/>
      <c r="K4" s="13" t="n"/>
      <c r="L4" s="13" t="n"/>
      <c r="M4" s="14">
        <f>IF(L4="","",L4+4)</f>
        <v/>
      </c>
      <c r="N4" s="13" t="n"/>
      <c r="O4" s="14">
        <f>IF(N4="","",N4+6)</f>
        <v/>
      </c>
      <c r="P4" s="13" t="n"/>
      <c r="Q4" s="13" t="n"/>
      <c r="R4" s="13" t="n"/>
      <c r="S4" s="13" t="n"/>
      <c r="T4" s="12" t="n"/>
      <c r="U4" s="12" t="n"/>
      <c r="V4" s="9" t="n"/>
      <c r="W4" s="13" t="n"/>
      <c r="X4" s="11">
        <f>IF(MAX(I4:L4,N4,P4:S4)=0,"",TODAY()-MAX(I4:L4,N4,P4:S4))</f>
        <v/>
      </c>
      <c r="Y4" s="9" t="n"/>
    </row>
    <row r="5">
      <c r="A5" s="11" t="inlineStr">
        <is>
          <t>G004</t>
        </is>
      </c>
      <c r="B5" s="11">
        <f>IFERROR(INDEX(Leads!$D:$D,MATCH($A5,Leads!$A:$A,0)),"")</f>
        <v/>
      </c>
      <c r="C5" s="11">
        <f>IFERROR(INDEX(Leads!$F:$F,MATCH($A5,Leads!$A:$A,0)),"")</f>
        <v/>
      </c>
      <c r="D5" s="11">
        <f>IFERROR(INDEX(Leads!$G:$G,MATCH($A5,Leads!$A:$A,0)),"")</f>
        <v/>
      </c>
      <c r="E5" s="11">
        <f>IFERROR(INDEX(Leads!$R:$R,MATCH($A5,Leads!$A:$A,0)),"")</f>
        <v/>
      </c>
      <c r="F5" s="11">
        <f>IFERROR(INDEX(Leads!$N:$N,MATCH($A5,Leads!$A:$A,0)),"")</f>
        <v/>
      </c>
      <c r="G5" s="11">
        <f>IFERROR(INDEX(Leads!$J:$J,MATCH($A5,Leads!$A:$A,0)),"")</f>
        <v/>
      </c>
      <c r="H5" s="12" t="inlineStr">
        <is>
          <t>Not started</t>
        </is>
      </c>
      <c r="I5" s="13" t="n"/>
      <c r="J5" s="13" t="n"/>
      <c r="K5" s="13" t="n"/>
      <c r="L5" s="13" t="n"/>
      <c r="M5" s="14">
        <f>IF(L5="","",L5+4)</f>
        <v/>
      </c>
      <c r="N5" s="13" t="n"/>
      <c r="O5" s="14">
        <f>IF(N5="","",N5+6)</f>
        <v/>
      </c>
      <c r="P5" s="13" t="n"/>
      <c r="Q5" s="13" t="n"/>
      <c r="R5" s="13" t="n"/>
      <c r="S5" s="13" t="n"/>
      <c r="T5" s="12" t="n"/>
      <c r="U5" s="12" t="n"/>
      <c r="V5" s="9" t="n"/>
      <c r="W5" s="13" t="n"/>
      <c r="X5" s="11">
        <f>IF(MAX(I5:L5,N5,P5:S5)=0,"",TODAY()-MAX(I5:L5,N5,P5:S5))</f>
        <v/>
      </c>
      <c r="Y5" s="9" t="n"/>
    </row>
    <row r="6">
      <c r="A6" s="11" t="inlineStr">
        <is>
          <t>G005</t>
        </is>
      </c>
      <c r="B6" s="11">
        <f>IFERROR(INDEX(Leads!$D:$D,MATCH($A6,Leads!$A:$A,0)),"")</f>
        <v/>
      </c>
      <c r="C6" s="11">
        <f>IFERROR(INDEX(Leads!$F:$F,MATCH($A6,Leads!$A:$A,0)),"")</f>
        <v/>
      </c>
      <c r="D6" s="11">
        <f>IFERROR(INDEX(Leads!$G:$G,MATCH($A6,Leads!$A:$A,0)),"")</f>
        <v/>
      </c>
      <c r="E6" s="11">
        <f>IFERROR(INDEX(Leads!$R:$R,MATCH($A6,Leads!$A:$A,0)),"")</f>
        <v/>
      </c>
      <c r="F6" s="11">
        <f>IFERROR(INDEX(Leads!$N:$N,MATCH($A6,Leads!$A:$A,0)),"")</f>
        <v/>
      </c>
      <c r="G6" s="11">
        <f>IFERROR(INDEX(Leads!$J:$J,MATCH($A6,Leads!$A:$A,0)),"")</f>
        <v/>
      </c>
      <c r="H6" s="12" t="inlineStr">
        <is>
          <t>Not started</t>
        </is>
      </c>
      <c r="I6" s="13" t="n"/>
      <c r="J6" s="13" t="n"/>
      <c r="K6" s="13" t="n"/>
      <c r="L6" s="13" t="n"/>
      <c r="M6" s="14">
        <f>IF(L6="","",L6+4)</f>
        <v/>
      </c>
      <c r="N6" s="13" t="n"/>
      <c r="O6" s="14">
        <f>IF(N6="","",N6+6)</f>
        <v/>
      </c>
      <c r="P6" s="13" t="n"/>
      <c r="Q6" s="13" t="n"/>
      <c r="R6" s="13" t="n"/>
      <c r="S6" s="13" t="n"/>
      <c r="T6" s="12" t="n"/>
      <c r="U6" s="12" t="n"/>
      <c r="V6" s="9" t="n"/>
      <c r="W6" s="13" t="n"/>
      <c r="X6" s="11">
        <f>IF(MAX(I6:L6,N6,P6:S6)=0,"",TODAY()-MAX(I6:L6,N6,P6:S6))</f>
        <v/>
      </c>
      <c r="Y6" s="9" t="n"/>
    </row>
    <row r="7">
      <c r="A7" s="11" t="inlineStr">
        <is>
          <t>G006</t>
        </is>
      </c>
      <c r="B7" s="11">
        <f>IFERROR(INDEX(Leads!$D:$D,MATCH($A7,Leads!$A:$A,0)),"")</f>
        <v/>
      </c>
      <c r="C7" s="11">
        <f>IFERROR(INDEX(Leads!$F:$F,MATCH($A7,Leads!$A:$A,0)),"")</f>
        <v/>
      </c>
      <c r="D7" s="11">
        <f>IFERROR(INDEX(Leads!$G:$G,MATCH($A7,Leads!$A:$A,0)),"")</f>
        <v/>
      </c>
      <c r="E7" s="11">
        <f>IFERROR(INDEX(Leads!$R:$R,MATCH($A7,Leads!$A:$A,0)),"")</f>
        <v/>
      </c>
      <c r="F7" s="11">
        <f>IFERROR(INDEX(Leads!$N:$N,MATCH($A7,Leads!$A:$A,0)),"")</f>
        <v/>
      </c>
      <c r="G7" s="11">
        <f>IFERROR(INDEX(Leads!$J:$J,MATCH($A7,Leads!$A:$A,0)),"")</f>
        <v/>
      </c>
      <c r="H7" s="12" t="inlineStr">
        <is>
          <t>Not started</t>
        </is>
      </c>
      <c r="I7" s="13" t="n"/>
      <c r="J7" s="13" t="n"/>
      <c r="K7" s="13" t="n"/>
      <c r="L7" s="13" t="n"/>
      <c r="M7" s="14">
        <f>IF(L7="","",L7+4)</f>
        <v/>
      </c>
      <c r="N7" s="13" t="n"/>
      <c r="O7" s="14">
        <f>IF(N7="","",N7+6)</f>
        <v/>
      </c>
      <c r="P7" s="13" t="n"/>
      <c r="Q7" s="13" t="n"/>
      <c r="R7" s="13" t="n"/>
      <c r="S7" s="13" t="n"/>
      <c r="T7" s="12" t="n"/>
      <c r="U7" s="12" t="n"/>
      <c r="V7" s="9" t="n"/>
      <c r="W7" s="13" t="n"/>
      <c r="X7" s="11">
        <f>IF(MAX(I7:L7,N7,P7:S7)=0,"",TODAY()-MAX(I7:L7,N7,P7:S7))</f>
        <v/>
      </c>
      <c r="Y7" s="9" t="n"/>
    </row>
    <row r="8">
      <c r="A8" s="11" t="inlineStr">
        <is>
          <t>G007</t>
        </is>
      </c>
      <c r="B8" s="11">
        <f>IFERROR(INDEX(Leads!$D:$D,MATCH($A8,Leads!$A:$A,0)),"")</f>
        <v/>
      </c>
      <c r="C8" s="11">
        <f>IFERROR(INDEX(Leads!$F:$F,MATCH($A8,Leads!$A:$A,0)),"")</f>
        <v/>
      </c>
      <c r="D8" s="11">
        <f>IFERROR(INDEX(Leads!$G:$G,MATCH($A8,Leads!$A:$A,0)),"")</f>
        <v/>
      </c>
      <c r="E8" s="11">
        <f>IFERROR(INDEX(Leads!$R:$R,MATCH($A8,Leads!$A:$A,0)),"")</f>
        <v/>
      </c>
      <c r="F8" s="11">
        <f>IFERROR(INDEX(Leads!$N:$N,MATCH($A8,Leads!$A:$A,0)),"")</f>
        <v/>
      </c>
      <c r="G8" s="11">
        <f>IFERROR(INDEX(Leads!$J:$J,MATCH($A8,Leads!$A:$A,0)),"")</f>
        <v/>
      </c>
      <c r="H8" s="12" t="inlineStr">
        <is>
          <t>Not started</t>
        </is>
      </c>
      <c r="I8" s="13" t="n"/>
      <c r="J8" s="13" t="n"/>
      <c r="K8" s="13" t="n"/>
      <c r="L8" s="13" t="n"/>
      <c r="M8" s="14">
        <f>IF(L8="","",L8+4)</f>
        <v/>
      </c>
      <c r="N8" s="13" t="n"/>
      <c r="O8" s="14">
        <f>IF(N8="","",N8+6)</f>
        <v/>
      </c>
      <c r="P8" s="13" t="n"/>
      <c r="Q8" s="13" t="n"/>
      <c r="R8" s="13" t="n"/>
      <c r="S8" s="13" t="n"/>
      <c r="T8" s="12" t="n"/>
      <c r="U8" s="12" t="n"/>
      <c r="V8" s="9" t="n"/>
      <c r="W8" s="13" t="n"/>
      <c r="X8" s="11">
        <f>IF(MAX(I8:L8,N8,P8:S8)=0,"",TODAY()-MAX(I8:L8,N8,P8:S8))</f>
        <v/>
      </c>
      <c r="Y8" s="9" t="n"/>
    </row>
    <row r="9">
      <c r="A9" s="11" t="inlineStr">
        <is>
          <t>G008</t>
        </is>
      </c>
      <c r="B9" s="11">
        <f>IFERROR(INDEX(Leads!$D:$D,MATCH($A9,Leads!$A:$A,0)),"")</f>
        <v/>
      </c>
      <c r="C9" s="11">
        <f>IFERROR(INDEX(Leads!$F:$F,MATCH($A9,Leads!$A:$A,0)),"")</f>
        <v/>
      </c>
      <c r="D9" s="11">
        <f>IFERROR(INDEX(Leads!$G:$G,MATCH($A9,Leads!$A:$A,0)),"")</f>
        <v/>
      </c>
      <c r="E9" s="11">
        <f>IFERROR(INDEX(Leads!$R:$R,MATCH($A9,Leads!$A:$A,0)),"")</f>
        <v/>
      </c>
      <c r="F9" s="11">
        <f>IFERROR(INDEX(Leads!$N:$N,MATCH($A9,Leads!$A:$A,0)),"")</f>
        <v/>
      </c>
      <c r="G9" s="11">
        <f>IFERROR(INDEX(Leads!$J:$J,MATCH($A9,Leads!$A:$A,0)),"")</f>
        <v/>
      </c>
      <c r="H9" s="12" t="inlineStr">
        <is>
          <t>Not started</t>
        </is>
      </c>
      <c r="I9" s="13" t="n"/>
      <c r="J9" s="13" t="n"/>
      <c r="K9" s="13" t="n"/>
      <c r="L9" s="13" t="n"/>
      <c r="M9" s="14">
        <f>IF(L9="","",L9+4)</f>
        <v/>
      </c>
      <c r="N9" s="13" t="n"/>
      <c r="O9" s="14">
        <f>IF(N9="","",N9+6)</f>
        <v/>
      </c>
      <c r="P9" s="13" t="n"/>
      <c r="Q9" s="13" t="n"/>
      <c r="R9" s="13" t="n"/>
      <c r="S9" s="13" t="n"/>
      <c r="T9" s="12" t="n"/>
      <c r="U9" s="12" t="n"/>
      <c r="V9" s="9" t="n"/>
      <c r="W9" s="13" t="n"/>
      <c r="X9" s="11">
        <f>IF(MAX(I9:L9,N9,P9:S9)=0,"",TODAY()-MAX(I9:L9,N9,P9:S9))</f>
        <v/>
      </c>
      <c r="Y9" s="9" t="n"/>
    </row>
    <row r="10">
      <c r="A10" s="11" t="inlineStr">
        <is>
          <t>G009</t>
        </is>
      </c>
      <c r="B10" s="11">
        <f>IFERROR(INDEX(Leads!$D:$D,MATCH($A10,Leads!$A:$A,0)),"")</f>
        <v/>
      </c>
      <c r="C10" s="11">
        <f>IFERROR(INDEX(Leads!$F:$F,MATCH($A10,Leads!$A:$A,0)),"")</f>
        <v/>
      </c>
      <c r="D10" s="11">
        <f>IFERROR(INDEX(Leads!$G:$G,MATCH($A10,Leads!$A:$A,0)),"")</f>
        <v/>
      </c>
      <c r="E10" s="11">
        <f>IFERROR(INDEX(Leads!$R:$R,MATCH($A10,Leads!$A:$A,0)),"")</f>
        <v/>
      </c>
      <c r="F10" s="11">
        <f>IFERROR(INDEX(Leads!$N:$N,MATCH($A10,Leads!$A:$A,0)),"")</f>
        <v/>
      </c>
      <c r="G10" s="11">
        <f>IFERROR(INDEX(Leads!$J:$J,MATCH($A10,Leads!$A:$A,0)),"")</f>
        <v/>
      </c>
      <c r="H10" s="12" t="inlineStr">
        <is>
          <t>Not started</t>
        </is>
      </c>
      <c r="I10" s="13" t="n"/>
      <c r="J10" s="13" t="n"/>
      <c r="K10" s="13" t="n"/>
      <c r="L10" s="13" t="n"/>
      <c r="M10" s="14">
        <f>IF(L10="","",L10+4)</f>
        <v/>
      </c>
      <c r="N10" s="13" t="n"/>
      <c r="O10" s="14">
        <f>IF(N10="","",N10+6)</f>
        <v/>
      </c>
      <c r="P10" s="13" t="n"/>
      <c r="Q10" s="13" t="n"/>
      <c r="R10" s="13" t="n"/>
      <c r="S10" s="13" t="n"/>
      <c r="T10" s="12" t="n"/>
      <c r="U10" s="12" t="n"/>
      <c r="V10" s="9" t="n"/>
      <c r="W10" s="13" t="n"/>
      <c r="X10" s="11">
        <f>IF(MAX(I10:L10,N10,P10:S10)=0,"",TODAY()-MAX(I10:L10,N10,P10:S10))</f>
        <v/>
      </c>
      <c r="Y10" s="9" t="n"/>
    </row>
    <row r="11">
      <c r="A11" s="11" t="inlineStr">
        <is>
          <t>G010</t>
        </is>
      </c>
      <c r="B11" s="11">
        <f>IFERROR(INDEX(Leads!$D:$D,MATCH($A11,Leads!$A:$A,0)),"")</f>
        <v/>
      </c>
      <c r="C11" s="11">
        <f>IFERROR(INDEX(Leads!$F:$F,MATCH($A11,Leads!$A:$A,0)),"")</f>
        <v/>
      </c>
      <c r="D11" s="11">
        <f>IFERROR(INDEX(Leads!$G:$G,MATCH($A11,Leads!$A:$A,0)),"")</f>
        <v/>
      </c>
      <c r="E11" s="11">
        <f>IFERROR(INDEX(Leads!$R:$R,MATCH($A11,Leads!$A:$A,0)),"")</f>
        <v/>
      </c>
      <c r="F11" s="11">
        <f>IFERROR(INDEX(Leads!$N:$N,MATCH($A11,Leads!$A:$A,0)),"")</f>
        <v/>
      </c>
      <c r="G11" s="11">
        <f>IFERROR(INDEX(Leads!$J:$J,MATCH($A11,Leads!$A:$A,0)),"")</f>
        <v/>
      </c>
      <c r="H11" s="12" t="inlineStr">
        <is>
          <t>Not started</t>
        </is>
      </c>
      <c r="I11" s="13" t="n"/>
      <c r="J11" s="13" t="n"/>
      <c r="K11" s="13" t="n"/>
      <c r="L11" s="13" t="n"/>
      <c r="M11" s="14">
        <f>IF(L11="","",L11+4)</f>
        <v/>
      </c>
      <c r="N11" s="13" t="n"/>
      <c r="O11" s="14">
        <f>IF(N11="","",N11+6)</f>
        <v/>
      </c>
      <c r="P11" s="13" t="n"/>
      <c r="Q11" s="13" t="n"/>
      <c r="R11" s="13" t="n"/>
      <c r="S11" s="13" t="n"/>
      <c r="T11" s="12" t="n"/>
      <c r="U11" s="12" t="n"/>
      <c r="V11" s="9" t="n"/>
      <c r="W11" s="13" t="n"/>
      <c r="X11" s="11">
        <f>IF(MAX(I11:L11,N11,P11:S11)=0,"",TODAY()-MAX(I11:L11,N11,P11:S11))</f>
        <v/>
      </c>
      <c r="Y11" s="9" t="n"/>
    </row>
    <row r="12">
      <c r="A12" s="11" t="inlineStr">
        <is>
          <t>G011</t>
        </is>
      </c>
      <c r="B12" s="11">
        <f>IFERROR(INDEX(Leads!$D:$D,MATCH($A12,Leads!$A:$A,0)),"")</f>
        <v/>
      </c>
      <c r="C12" s="11">
        <f>IFERROR(INDEX(Leads!$F:$F,MATCH($A12,Leads!$A:$A,0)),"")</f>
        <v/>
      </c>
      <c r="D12" s="11">
        <f>IFERROR(INDEX(Leads!$G:$G,MATCH($A12,Leads!$A:$A,0)),"")</f>
        <v/>
      </c>
      <c r="E12" s="11">
        <f>IFERROR(INDEX(Leads!$R:$R,MATCH($A12,Leads!$A:$A,0)),"")</f>
        <v/>
      </c>
      <c r="F12" s="11">
        <f>IFERROR(INDEX(Leads!$N:$N,MATCH($A12,Leads!$A:$A,0)),"")</f>
        <v/>
      </c>
      <c r="G12" s="11">
        <f>IFERROR(INDEX(Leads!$J:$J,MATCH($A12,Leads!$A:$A,0)),"")</f>
        <v/>
      </c>
      <c r="H12" s="12" t="inlineStr">
        <is>
          <t>Not started</t>
        </is>
      </c>
      <c r="I12" s="13" t="n"/>
      <c r="J12" s="13" t="n"/>
      <c r="K12" s="13" t="n"/>
      <c r="L12" s="13" t="n"/>
      <c r="M12" s="14">
        <f>IF(L12="","",L12+4)</f>
        <v/>
      </c>
      <c r="N12" s="13" t="n"/>
      <c r="O12" s="14">
        <f>IF(N12="","",N12+6)</f>
        <v/>
      </c>
      <c r="P12" s="13" t="n"/>
      <c r="Q12" s="13" t="n"/>
      <c r="R12" s="13" t="n"/>
      <c r="S12" s="13" t="n"/>
      <c r="T12" s="12" t="n"/>
      <c r="U12" s="12" t="n"/>
      <c r="V12" s="9" t="n"/>
      <c r="W12" s="13" t="n"/>
      <c r="X12" s="11">
        <f>IF(MAX(I12:L12,N12,P12:S12)=0,"",TODAY()-MAX(I12:L12,N12,P12:S12))</f>
        <v/>
      </c>
      <c r="Y12" s="9" t="n"/>
    </row>
    <row r="13">
      <c r="A13" s="11" t="inlineStr">
        <is>
          <t>G012</t>
        </is>
      </c>
      <c r="B13" s="11">
        <f>IFERROR(INDEX(Leads!$D:$D,MATCH($A13,Leads!$A:$A,0)),"")</f>
        <v/>
      </c>
      <c r="C13" s="11">
        <f>IFERROR(INDEX(Leads!$F:$F,MATCH($A13,Leads!$A:$A,0)),"")</f>
        <v/>
      </c>
      <c r="D13" s="11">
        <f>IFERROR(INDEX(Leads!$G:$G,MATCH($A13,Leads!$A:$A,0)),"")</f>
        <v/>
      </c>
      <c r="E13" s="11">
        <f>IFERROR(INDEX(Leads!$R:$R,MATCH($A13,Leads!$A:$A,0)),"")</f>
        <v/>
      </c>
      <c r="F13" s="11">
        <f>IFERROR(INDEX(Leads!$N:$N,MATCH($A13,Leads!$A:$A,0)),"")</f>
        <v/>
      </c>
      <c r="G13" s="11">
        <f>IFERROR(INDEX(Leads!$J:$J,MATCH($A13,Leads!$A:$A,0)),"")</f>
        <v/>
      </c>
      <c r="H13" s="12" t="inlineStr">
        <is>
          <t>Not started</t>
        </is>
      </c>
      <c r="I13" s="13" t="n"/>
      <c r="J13" s="13" t="n"/>
      <c r="K13" s="13" t="n"/>
      <c r="L13" s="13" t="n"/>
      <c r="M13" s="14">
        <f>IF(L13="","",L13+4)</f>
        <v/>
      </c>
      <c r="N13" s="13" t="n"/>
      <c r="O13" s="14">
        <f>IF(N13="","",N13+6)</f>
        <v/>
      </c>
      <c r="P13" s="13" t="n"/>
      <c r="Q13" s="13" t="n"/>
      <c r="R13" s="13" t="n"/>
      <c r="S13" s="13" t="n"/>
      <c r="T13" s="12" t="n"/>
      <c r="U13" s="12" t="n"/>
      <c r="V13" s="9" t="n"/>
      <c r="W13" s="13" t="n"/>
      <c r="X13" s="11">
        <f>IF(MAX(I13:L13,N13,P13:S13)=0,"",TODAY()-MAX(I13:L13,N13,P13:S13))</f>
        <v/>
      </c>
      <c r="Y13" s="9" t="n"/>
    </row>
    <row r="14">
      <c r="A14" s="11" t="inlineStr">
        <is>
          <t>G013</t>
        </is>
      </c>
      <c r="B14" s="11">
        <f>IFERROR(INDEX(Leads!$D:$D,MATCH($A14,Leads!$A:$A,0)),"")</f>
        <v/>
      </c>
      <c r="C14" s="11">
        <f>IFERROR(INDEX(Leads!$F:$F,MATCH($A14,Leads!$A:$A,0)),"")</f>
        <v/>
      </c>
      <c r="D14" s="11">
        <f>IFERROR(INDEX(Leads!$G:$G,MATCH($A14,Leads!$A:$A,0)),"")</f>
        <v/>
      </c>
      <c r="E14" s="11">
        <f>IFERROR(INDEX(Leads!$R:$R,MATCH($A14,Leads!$A:$A,0)),"")</f>
        <v/>
      </c>
      <c r="F14" s="11">
        <f>IFERROR(INDEX(Leads!$N:$N,MATCH($A14,Leads!$A:$A,0)),"")</f>
        <v/>
      </c>
      <c r="G14" s="11">
        <f>IFERROR(INDEX(Leads!$J:$J,MATCH($A14,Leads!$A:$A,0)),"")</f>
        <v/>
      </c>
      <c r="H14" s="12" t="inlineStr">
        <is>
          <t>Not started</t>
        </is>
      </c>
      <c r="I14" s="13" t="n"/>
      <c r="J14" s="13" t="n"/>
      <c r="K14" s="13" t="n"/>
      <c r="L14" s="13" t="n"/>
      <c r="M14" s="14">
        <f>IF(L14="","",L14+4)</f>
        <v/>
      </c>
      <c r="N14" s="13" t="n"/>
      <c r="O14" s="14">
        <f>IF(N14="","",N14+6)</f>
        <v/>
      </c>
      <c r="P14" s="13" t="n"/>
      <c r="Q14" s="13" t="n"/>
      <c r="R14" s="13" t="n"/>
      <c r="S14" s="13" t="n"/>
      <c r="T14" s="12" t="n"/>
      <c r="U14" s="12" t="n"/>
      <c r="V14" s="9" t="n"/>
      <c r="W14" s="13" t="n"/>
      <c r="X14" s="11">
        <f>IF(MAX(I14:L14,N14,P14:S14)=0,"",TODAY()-MAX(I14:L14,N14,P14:S14))</f>
        <v/>
      </c>
      <c r="Y14" s="9" t="n"/>
    </row>
    <row r="15">
      <c r="A15" s="11" t="inlineStr">
        <is>
          <t>G014</t>
        </is>
      </c>
      <c r="B15" s="11">
        <f>IFERROR(INDEX(Leads!$D:$D,MATCH($A15,Leads!$A:$A,0)),"")</f>
        <v/>
      </c>
      <c r="C15" s="11">
        <f>IFERROR(INDEX(Leads!$F:$F,MATCH($A15,Leads!$A:$A,0)),"")</f>
        <v/>
      </c>
      <c r="D15" s="11">
        <f>IFERROR(INDEX(Leads!$G:$G,MATCH($A15,Leads!$A:$A,0)),"")</f>
        <v/>
      </c>
      <c r="E15" s="11">
        <f>IFERROR(INDEX(Leads!$R:$R,MATCH($A15,Leads!$A:$A,0)),"")</f>
        <v/>
      </c>
      <c r="F15" s="11">
        <f>IFERROR(INDEX(Leads!$N:$N,MATCH($A15,Leads!$A:$A,0)),"")</f>
        <v/>
      </c>
      <c r="G15" s="11">
        <f>IFERROR(INDEX(Leads!$J:$J,MATCH($A15,Leads!$A:$A,0)),"")</f>
        <v/>
      </c>
      <c r="H15" s="12" t="inlineStr">
        <is>
          <t>Not started</t>
        </is>
      </c>
      <c r="I15" s="13" t="n"/>
      <c r="J15" s="13" t="n"/>
      <c r="K15" s="13" t="n"/>
      <c r="L15" s="13" t="n"/>
      <c r="M15" s="14">
        <f>IF(L15="","",L15+4)</f>
        <v/>
      </c>
      <c r="N15" s="13" t="n"/>
      <c r="O15" s="14">
        <f>IF(N15="","",N15+6)</f>
        <v/>
      </c>
      <c r="P15" s="13" t="n"/>
      <c r="Q15" s="13" t="n"/>
      <c r="R15" s="13" t="n"/>
      <c r="S15" s="13" t="n"/>
      <c r="T15" s="12" t="n"/>
      <c r="U15" s="12" t="n"/>
      <c r="V15" s="9" t="n"/>
      <c r="W15" s="13" t="n"/>
      <c r="X15" s="11">
        <f>IF(MAX(I15:L15,N15,P15:S15)=0,"",TODAY()-MAX(I15:L15,N15,P15:S15))</f>
        <v/>
      </c>
      <c r="Y15" s="9" t="n"/>
    </row>
    <row r="16">
      <c r="A16" s="11" t="inlineStr">
        <is>
          <t>G015</t>
        </is>
      </c>
      <c r="B16" s="11">
        <f>IFERROR(INDEX(Leads!$D:$D,MATCH($A16,Leads!$A:$A,0)),"")</f>
        <v/>
      </c>
      <c r="C16" s="11">
        <f>IFERROR(INDEX(Leads!$F:$F,MATCH($A16,Leads!$A:$A,0)),"")</f>
        <v/>
      </c>
      <c r="D16" s="11">
        <f>IFERROR(INDEX(Leads!$G:$G,MATCH($A16,Leads!$A:$A,0)),"")</f>
        <v/>
      </c>
      <c r="E16" s="11">
        <f>IFERROR(INDEX(Leads!$R:$R,MATCH($A16,Leads!$A:$A,0)),"")</f>
        <v/>
      </c>
      <c r="F16" s="11">
        <f>IFERROR(INDEX(Leads!$N:$N,MATCH($A16,Leads!$A:$A,0)),"")</f>
        <v/>
      </c>
      <c r="G16" s="11">
        <f>IFERROR(INDEX(Leads!$J:$J,MATCH($A16,Leads!$A:$A,0)),"")</f>
        <v/>
      </c>
      <c r="H16" s="12" t="inlineStr">
        <is>
          <t>Not started</t>
        </is>
      </c>
      <c r="I16" s="13" t="n"/>
      <c r="J16" s="13" t="n"/>
      <c r="K16" s="13" t="n"/>
      <c r="L16" s="13" t="n"/>
      <c r="M16" s="14">
        <f>IF(L16="","",L16+4)</f>
        <v/>
      </c>
      <c r="N16" s="13" t="n"/>
      <c r="O16" s="14">
        <f>IF(N16="","",N16+6)</f>
        <v/>
      </c>
      <c r="P16" s="13" t="n"/>
      <c r="Q16" s="13" t="n"/>
      <c r="R16" s="13" t="n"/>
      <c r="S16" s="13" t="n"/>
      <c r="T16" s="12" t="n"/>
      <c r="U16" s="12" t="n"/>
      <c r="V16" s="9" t="n"/>
      <c r="W16" s="13" t="n"/>
      <c r="X16" s="11">
        <f>IF(MAX(I16:L16,N16,P16:S16)=0,"",TODAY()-MAX(I16:L16,N16,P16:S16))</f>
        <v/>
      </c>
      <c r="Y16" s="9" t="n"/>
    </row>
    <row r="17">
      <c r="A17" s="11" t="inlineStr">
        <is>
          <t>G016</t>
        </is>
      </c>
      <c r="B17" s="11">
        <f>IFERROR(INDEX(Leads!$D:$D,MATCH($A17,Leads!$A:$A,0)),"")</f>
        <v/>
      </c>
      <c r="C17" s="11">
        <f>IFERROR(INDEX(Leads!$F:$F,MATCH($A17,Leads!$A:$A,0)),"")</f>
        <v/>
      </c>
      <c r="D17" s="11">
        <f>IFERROR(INDEX(Leads!$G:$G,MATCH($A17,Leads!$A:$A,0)),"")</f>
        <v/>
      </c>
      <c r="E17" s="11">
        <f>IFERROR(INDEX(Leads!$R:$R,MATCH($A17,Leads!$A:$A,0)),"")</f>
        <v/>
      </c>
      <c r="F17" s="11">
        <f>IFERROR(INDEX(Leads!$N:$N,MATCH($A17,Leads!$A:$A,0)),"")</f>
        <v/>
      </c>
      <c r="G17" s="11">
        <f>IFERROR(INDEX(Leads!$J:$J,MATCH($A17,Leads!$A:$A,0)),"")</f>
        <v/>
      </c>
      <c r="H17" s="12" t="inlineStr">
        <is>
          <t>Not started</t>
        </is>
      </c>
      <c r="I17" s="13" t="n"/>
      <c r="J17" s="13" t="n"/>
      <c r="K17" s="13" t="n"/>
      <c r="L17" s="13" t="n"/>
      <c r="M17" s="14">
        <f>IF(L17="","",L17+4)</f>
        <v/>
      </c>
      <c r="N17" s="13" t="n"/>
      <c r="O17" s="14">
        <f>IF(N17="","",N17+6)</f>
        <v/>
      </c>
      <c r="P17" s="13" t="n"/>
      <c r="Q17" s="13" t="n"/>
      <c r="R17" s="13" t="n"/>
      <c r="S17" s="13" t="n"/>
      <c r="T17" s="12" t="n"/>
      <c r="U17" s="12" t="n"/>
      <c r="V17" s="9" t="n"/>
      <c r="W17" s="13" t="n"/>
      <c r="X17" s="11">
        <f>IF(MAX(I17:L17,N17,P17:S17)=0,"",TODAY()-MAX(I17:L17,N17,P17:S17))</f>
        <v/>
      </c>
      <c r="Y17" s="9" t="n"/>
    </row>
    <row r="18">
      <c r="A18" s="11" t="inlineStr">
        <is>
          <t>G017</t>
        </is>
      </c>
      <c r="B18" s="11">
        <f>IFERROR(INDEX(Leads!$D:$D,MATCH($A18,Leads!$A:$A,0)),"")</f>
        <v/>
      </c>
      <c r="C18" s="11">
        <f>IFERROR(INDEX(Leads!$F:$F,MATCH($A18,Leads!$A:$A,0)),"")</f>
        <v/>
      </c>
      <c r="D18" s="11">
        <f>IFERROR(INDEX(Leads!$G:$G,MATCH($A18,Leads!$A:$A,0)),"")</f>
        <v/>
      </c>
      <c r="E18" s="11">
        <f>IFERROR(INDEX(Leads!$R:$R,MATCH($A18,Leads!$A:$A,0)),"")</f>
        <v/>
      </c>
      <c r="F18" s="11">
        <f>IFERROR(INDEX(Leads!$N:$N,MATCH($A18,Leads!$A:$A,0)),"")</f>
        <v/>
      </c>
      <c r="G18" s="11">
        <f>IFERROR(INDEX(Leads!$J:$J,MATCH($A18,Leads!$A:$A,0)),"")</f>
        <v/>
      </c>
      <c r="H18" s="12" t="inlineStr">
        <is>
          <t>Not started</t>
        </is>
      </c>
      <c r="I18" s="13" t="n"/>
      <c r="J18" s="13" t="n"/>
      <c r="K18" s="13" t="n"/>
      <c r="L18" s="13" t="n"/>
      <c r="M18" s="14">
        <f>IF(L18="","",L18+4)</f>
        <v/>
      </c>
      <c r="N18" s="13" t="n"/>
      <c r="O18" s="14">
        <f>IF(N18="","",N18+6)</f>
        <v/>
      </c>
      <c r="P18" s="13" t="n"/>
      <c r="Q18" s="13" t="n"/>
      <c r="R18" s="13" t="n"/>
      <c r="S18" s="13" t="n"/>
      <c r="T18" s="12" t="n"/>
      <c r="U18" s="12" t="n"/>
      <c r="V18" s="9" t="n"/>
      <c r="W18" s="13" t="n"/>
      <c r="X18" s="11">
        <f>IF(MAX(I18:L18,N18,P18:S18)=0,"",TODAY()-MAX(I18:L18,N18,P18:S18))</f>
        <v/>
      </c>
      <c r="Y18" s="9" t="n"/>
    </row>
    <row r="19">
      <c r="A19" s="11" t="inlineStr">
        <is>
          <t>G018</t>
        </is>
      </c>
      <c r="B19" s="11">
        <f>IFERROR(INDEX(Leads!$D:$D,MATCH($A19,Leads!$A:$A,0)),"")</f>
        <v/>
      </c>
      <c r="C19" s="11">
        <f>IFERROR(INDEX(Leads!$F:$F,MATCH($A19,Leads!$A:$A,0)),"")</f>
        <v/>
      </c>
      <c r="D19" s="11">
        <f>IFERROR(INDEX(Leads!$G:$G,MATCH($A19,Leads!$A:$A,0)),"")</f>
        <v/>
      </c>
      <c r="E19" s="11">
        <f>IFERROR(INDEX(Leads!$R:$R,MATCH($A19,Leads!$A:$A,0)),"")</f>
        <v/>
      </c>
      <c r="F19" s="11">
        <f>IFERROR(INDEX(Leads!$N:$N,MATCH($A19,Leads!$A:$A,0)),"")</f>
        <v/>
      </c>
      <c r="G19" s="11">
        <f>IFERROR(INDEX(Leads!$J:$J,MATCH($A19,Leads!$A:$A,0)),"")</f>
        <v/>
      </c>
      <c r="H19" s="12" t="inlineStr">
        <is>
          <t>Not started</t>
        </is>
      </c>
      <c r="I19" s="13" t="n"/>
      <c r="J19" s="13" t="n"/>
      <c r="K19" s="13" t="n"/>
      <c r="L19" s="13" t="n"/>
      <c r="M19" s="14">
        <f>IF(L19="","",L19+4)</f>
        <v/>
      </c>
      <c r="N19" s="13" t="n"/>
      <c r="O19" s="14">
        <f>IF(N19="","",N19+6)</f>
        <v/>
      </c>
      <c r="P19" s="13" t="n"/>
      <c r="Q19" s="13" t="n"/>
      <c r="R19" s="13" t="n"/>
      <c r="S19" s="13" t="n"/>
      <c r="T19" s="12" t="n"/>
      <c r="U19" s="12" t="n"/>
      <c r="V19" s="9" t="n"/>
      <c r="W19" s="13" t="n"/>
      <c r="X19" s="11">
        <f>IF(MAX(I19:L19,N19,P19:S19)=0,"",TODAY()-MAX(I19:L19,N19,P19:S19))</f>
        <v/>
      </c>
      <c r="Y19" s="9" t="n"/>
    </row>
    <row r="20">
      <c r="A20" s="11" t="inlineStr">
        <is>
          <t>G019</t>
        </is>
      </c>
      <c r="B20" s="11">
        <f>IFERROR(INDEX(Leads!$D:$D,MATCH($A20,Leads!$A:$A,0)),"")</f>
        <v/>
      </c>
      <c r="C20" s="11">
        <f>IFERROR(INDEX(Leads!$F:$F,MATCH($A20,Leads!$A:$A,0)),"")</f>
        <v/>
      </c>
      <c r="D20" s="11">
        <f>IFERROR(INDEX(Leads!$G:$G,MATCH($A20,Leads!$A:$A,0)),"")</f>
        <v/>
      </c>
      <c r="E20" s="11">
        <f>IFERROR(INDEX(Leads!$R:$R,MATCH($A20,Leads!$A:$A,0)),"")</f>
        <v/>
      </c>
      <c r="F20" s="11">
        <f>IFERROR(INDEX(Leads!$N:$N,MATCH($A20,Leads!$A:$A,0)),"")</f>
        <v/>
      </c>
      <c r="G20" s="11">
        <f>IFERROR(INDEX(Leads!$J:$J,MATCH($A20,Leads!$A:$A,0)),"")</f>
        <v/>
      </c>
      <c r="H20" s="12" t="inlineStr">
        <is>
          <t>Not started</t>
        </is>
      </c>
      <c r="I20" s="13" t="n"/>
      <c r="J20" s="13" t="n"/>
      <c r="K20" s="13" t="n"/>
      <c r="L20" s="13" t="n"/>
      <c r="M20" s="14">
        <f>IF(L20="","",L20+4)</f>
        <v/>
      </c>
      <c r="N20" s="13" t="n"/>
      <c r="O20" s="14">
        <f>IF(N20="","",N20+6)</f>
        <v/>
      </c>
      <c r="P20" s="13" t="n"/>
      <c r="Q20" s="13" t="n"/>
      <c r="R20" s="13" t="n"/>
      <c r="S20" s="13" t="n"/>
      <c r="T20" s="12" t="n"/>
      <c r="U20" s="12" t="n"/>
      <c r="V20" s="9" t="n"/>
      <c r="W20" s="13" t="n"/>
      <c r="X20" s="11">
        <f>IF(MAX(I20:L20,N20,P20:S20)=0,"",TODAY()-MAX(I20:L20,N20,P20:S20))</f>
        <v/>
      </c>
      <c r="Y20" s="9" t="n"/>
    </row>
    <row r="21">
      <c r="A21" s="11" t="inlineStr">
        <is>
          <t>G020</t>
        </is>
      </c>
      <c r="B21" s="11">
        <f>IFERROR(INDEX(Leads!$D:$D,MATCH($A21,Leads!$A:$A,0)),"")</f>
        <v/>
      </c>
      <c r="C21" s="11">
        <f>IFERROR(INDEX(Leads!$F:$F,MATCH($A21,Leads!$A:$A,0)),"")</f>
        <v/>
      </c>
      <c r="D21" s="11">
        <f>IFERROR(INDEX(Leads!$G:$G,MATCH($A21,Leads!$A:$A,0)),"")</f>
        <v/>
      </c>
      <c r="E21" s="11">
        <f>IFERROR(INDEX(Leads!$R:$R,MATCH($A21,Leads!$A:$A,0)),"")</f>
        <v/>
      </c>
      <c r="F21" s="11">
        <f>IFERROR(INDEX(Leads!$N:$N,MATCH($A21,Leads!$A:$A,0)),"")</f>
        <v/>
      </c>
      <c r="G21" s="11">
        <f>IFERROR(INDEX(Leads!$J:$J,MATCH($A21,Leads!$A:$A,0)),"")</f>
        <v/>
      </c>
      <c r="H21" s="12" t="inlineStr">
        <is>
          <t>Not started</t>
        </is>
      </c>
      <c r="I21" s="13" t="n"/>
      <c r="J21" s="13" t="n"/>
      <c r="K21" s="13" t="n"/>
      <c r="L21" s="13" t="n"/>
      <c r="M21" s="14">
        <f>IF(L21="","",L21+4)</f>
        <v/>
      </c>
      <c r="N21" s="13" t="n"/>
      <c r="O21" s="14">
        <f>IF(N21="","",N21+6)</f>
        <v/>
      </c>
      <c r="P21" s="13" t="n"/>
      <c r="Q21" s="13" t="n"/>
      <c r="R21" s="13" t="n"/>
      <c r="S21" s="13" t="n"/>
      <c r="T21" s="12" t="n"/>
      <c r="U21" s="12" t="n"/>
      <c r="V21" s="9" t="n"/>
      <c r="W21" s="13" t="n"/>
      <c r="X21" s="11">
        <f>IF(MAX(I21:L21,N21,P21:S21)=0,"",TODAY()-MAX(I21:L21,N21,P21:S21))</f>
        <v/>
      </c>
      <c r="Y21" s="9" t="n"/>
    </row>
    <row r="22">
      <c r="A22" s="11" t="inlineStr">
        <is>
          <t>G021</t>
        </is>
      </c>
      <c r="B22" s="11">
        <f>IFERROR(INDEX(Leads!$D:$D,MATCH($A22,Leads!$A:$A,0)),"")</f>
        <v/>
      </c>
      <c r="C22" s="11">
        <f>IFERROR(INDEX(Leads!$F:$F,MATCH($A22,Leads!$A:$A,0)),"")</f>
        <v/>
      </c>
      <c r="D22" s="11">
        <f>IFERROR(INDEX(Leads!$G:$G,MATCH($A22,Leads!$A:$A,0)),"")</f>
        <v/>
      </c>
      <c r="E22" s="11">
        <f>IFERROR(INDEX(Leads!$R:$R,MATCH($A22,Leads!$A:$A,0)),"")</f>
        <v/>
      </c>
      <c r="F22" s="11">
        <f>IFERROR(INDEX(Leads!$N:$N,MATCH($A22,Leads!$A:$A,0)),"")</f>
        <v/>
      </c>
      <c r="G22" s="11">
        <f>IFERROR(INDEX(Leads!$J:$J,MATCH($A22,Leads!$A:$A,0)),"")</f>
        <v/>
      </c>
      <c r="H22" s="12" t="inlineStr">
        <is>
          <t>Not started</t>
        </is>
      </c>
      <c r="I22" s="13" t="n"/>
      <c r="J22" s="13" t="n"/>
      <c r="K22" s="13" t="n"/>
      <c r="L22" s="13" t="n"/>
      <c r="M22" s="14">
        <f>IF(L22="","",L22+4)</f>
        <v/>
      </c>
      <c r="N22" s="13" t="n"/>
      <c r="O22" s="14">
        <f>IF(N22="","",N22+6)</f>
        <v/>
      </c>
      <c r="P22" s="13" t="n"/>
      <c r="Q22" s="13" t="n"/>
      <c r="R22" s="13" t="n"/>
      <c r="S22" s="13" t="n"/>
      <c r="T22" s="12" t="n"/>
      <c r="U22" s="12" t="n"/>
      <c r="V22" s="9" t="n"/>
      <c r="W22" s="13" t="n"/>
      <c r="X22" s="11">
        <f>IF(MAX(I22:L22,N22,P22:S22)=0,"",TODAY()-MAX(I22:L22,N22,P22:S22))</f>
        <v/>
      </c>
      <c r="Y22" s="9" t="n"/>
    </row>
    <row r="23">
      <c r="A23" s="11" t="inlineStr">
        <is>
          <t>G022</t>
        </is>
      </c>
      <c r="B23" s="11">
        <f>IFERROR(INDEX(Leads!$D:$D,MATCH($A23,Leads!$A:$A,0)),"")</f>
        <v/>
      </c>
      <c r="C23" s="11">
        <f>IFERROR(INDEX(Leads!$F:$F,MATCH($A23,Leads!$A:$A,0)),"")</f>
        <v/>
      </c>
      <c r="D23" s="11">
        <f>IFERROR(INDEX(Leads!$G:$G,MATCH($A23,Leads!$A:$A,0)),"")</f>
        <v/>
      </c>
      <c r="E23" s="11">
        <f>IFERROR(INDEX(Leads!$R:$R,MATCH($A23,Leads!$A:$A,0)),"")</f>
        <v/>
      </c>
      <c r="F23" s="11">
        <f>IFERROR(INDEX(Leads!$N:$N,MATCH($A23,Leads!$A:$A,0)),"")</f>
        <v/>
      </c>
      <c r="G23" s="11">
        <f>IFERROR(INDEX(Leads!$J:$J,MATCH($A23,Leads!$A:$A,0)),"")</f>
        <v/>
      </c>
      <c r="H23" s="12" t="inlineStr">
        <is>
          <t>Not started</t>
        </is>
      </c>
      <c r="I23" s="13" t="n"/>
      <c r="J23" s="13" t="n"/>
      <c r="K23" s="13" t="n"/>
      <c r="L23" s="13" t="n"/>
      <c r="M23" s="14">
        <f>IF(L23="","",L23+4)</f>
        <v/>
      </c>
      <c r="N23" s="13" t="n"/>
      <c r="O23" s="14">
        <f>IF(N23="","",N23+6)</f>
        <v/>
      </c>
      <c r="P23" s="13" t="n"/>
      <c r="Q23" s="13" t="n"/>
      <c r="R23" s="13" t="n"/>
      <c r="S23" s="13" t="n"/>
      <c r="T23" s="12" t="n"/>
      <c r="U23" s="12" t="n"/>
      <c r="V23" s="9" t="n"/>
      <c r="W23" s="13" t="n"/>
      <c r="X23" s="11">
        <f>IF(MAX(I23:L23,N23,P23:S23)=0,"",TODAY()-MAX(I23:L23,N23,P23:S23))</f>
        <v/>
      </c>
      <c r="Y23" s="9" t="n"/>
    </row>
    <row r="24">
      <c r="A24" s="11" t="inlineStr">
        <is>
          <t>G023</t>
        </is>
      </c>
      <c r="B24" s="11">
        <f>IFERROR(INDEX(Leads!$D:$D,MATCH($A24,Leads!$A:$A,0)),"")</f>
        <v/>
      </c>
      <c r="C24" s="11">
        <f>IFERROR(INDEX(Leads!$F:$F,MATCH($A24,Leads!$A:$A,0)),"")</f>
        <v/>
      </c>
      <c r="D24" s="11">
        <f>IFERROR(INDEX(Leads!$G:$G,MATCH($A24,Leads!$A:$A,0)),"")</f>
        <v/>
      </c>
      <c r="E24" s="11">
        <f>IFERROR(INDEX(Leads!$R:$R,MATCH($A24,Leads!$A:$A,0)),"")</f>
        <v/>
      </c>
      <c r="F24" s="11">
        <f>IFERROR(INDEX(Leads!$N:$N,MATCH($A24,Leads!$A:$A,0)),"")</f>
        <v/>
      </c>
      <c r="G24" s="11">
        <f>IFERROR(INDEX(Leads!$J:$J,MATCH($A24,Leads!$A:$A,0)),"")</f>
        <v/>
      </c>
      <c r="H24" s="12" t="inlineStr">
        <is>
          <t>Not started</t>
        </is>
      </c>
      <c r="I24" s="13" t="n"/>
      <c r="J24" s="13" t="n"/>
      <c r="K24" s="13" t="n"/>
      <c r="L24" s="13" t="n"/>
      <c r="M24" s="14">
        <f>IF(L24="","",L24+4)</f>
        <v/>
      </c>
      <c r="N24" s="13" t="n"/>
      <c r="O24" s="14">
        <f>IF(N24="","",N24+6)</f>
        <v/>
      </c>
      <c r="P24" s="13" t="n"/>
      <c r="Q24" s="13" t="n"/>
      <c r="R24" s="13" t="n"/>
      <c r="S24" s="13" t="n"/>
      <c r="T24" s="12" t="n"/>
      <c r="U24" s="12" t="n"/>
      <c r="V24" s="9" t="n"/>
      <c r="W24" s="13" t="n"/>
      <c r="X24" s="11">
        <f>IF(MAX(I24:L24,N24,P24:S24)=0,"",TODAY()-MAX(I24:L24,N24,P24:S24))</f>
        <v/>
      </c>
      <c r="Y24" s="9" t="n"/>
    </row>
    <row r="25">
      <c r="A25" s="11" t="inlineStr">
        <is>
          <t>G024</t>
        </is>
      </c>
      <c r="B25" s="11">
        <f>IFERROR(INDEX(Leads!$D:$D,MATCH($A25,Leads!$A:$A,0)),"")</f>
        <v/>
      </c>
      <c r="C25" s="11">
        <f>IFERROR(INDEX(Leads!$F:$F,MATCH($A25,Leads!$A:$A,0)),"")</f>
        <v/>
      </c>
      <c r="D25" s="11">
        <f>IFERROR(INDEX(Leads!$G:$G,MATCH($A25,Leads!$A:$A,0)),"")</f>
        <v/>
      </c>
      <c r="E25" s="11">
        <f>IFERROR(INDEX(Leads!$R:$R,MATCH($A25,Leads!$A:$A,0)),"")</f>
        <v/>
      </c>
      <c r="F25" s="11">
        <f>IFERROR(INDEX(Leads!$N:$N,MATCH($A25,Leads!$A:$A,0)),"")</f>
        <v/>
      </c>
      <c r="G25" s="11">
        <f>IFERROR(INDEX(Leads!$J:$J,MATCH($A25,Leads!$A:$A,0)),"")</f>
        <v/>
      </c>
      <c r="H25" s="12" t="inlineStr">
        <is>
          <t>Not started</t>
        </is>
      </c>
      <c r="I25" s="13" t="n"/>
      <c r="J25" s="13" t="n"/>
      <c r="K25" s="13" t="n"/>
      <c r="L25" s="13" t="n"/>
      <c r="M25" s="14">
        <f>IF(L25="","",L25+4)</f>
        <v/>
      </c>
      <c r="N25" s="13" t="n"/>
      <c r="O25" s="14">
        <f>IF(N25="","",N25+6)</f>
        <v/>
      </c>
      <c r="P25" s="13" t="n"/>
      <c r="Q25" s="13" t="n"/>
      <c r="R25" s="13" t="n"/>
      <c r="S25" s="13" t="n"/>
      <c r="T25" s="12" t="n"/>
      <c r="U25" s="12" t="n"/>
      <c r="V25" s="9" t="n"/>
      <c r="W25" s="13" t="n"/>
      <c r="X25" s="11">
        <f>IF(MAX(I25:L25,N25,P25:S25)=0,"",TODAY()-MAX(I25:L25,N25,P25:S25))</f>
        <v/>
      </c>
      <c r="Y25" s="9" t="n"/>
    </row>
    <row r="26">
      <c r="A26" s="11" t="inlineStr">
        <is>
          <t>G025</t>
        </is>
      </c>
      <c r="B26" s="11">
        <f>IFERROR(INDEX(Leads!$D:$D,MATCH($A26,Leads!$A:$A,0)),"")</f>
        <v/>
      </c>
      <c r="C26" s="11">
        <f>IFERROR(INDEX(Leads!$F:$F,MATCH($A26,Leads!$A:$A,0)),"")</f>
        <v/>
      </c>
      <c r="D26" s="11">
        <f>IFERROR(INDEX(Leads!$G:$G,MATCH($A26,Leads!$A:$A,0)),"")</f>
        <v/>
      </c>
      <c r="E26" s="11">
        <f>IFERROR(INDEX(Leads!$R:$R,MATCH($A26,Leads!$A:$A,0)),"")</f>
        <v/>
      </c>
      <c r="F26" s="11">
        <f>IFERROR(INDEX(Leads!$N:$N,MATCH($A26,Leads!$A:$A,0)),"")</f>
        <v/>
      </c>
      <c r="G26" s="11">
        <f>IFERROR(INDEX(Leads!$J:$J,MATCH($A26,Leads!$A:$A,0)),"")</f>
        <v/>
      </c>
      <c r="H26" s="12" t="inlineStr">
        <is>
          <t>Not started</t>
        </is>
      </c>
      <c r="I26" s="13" t="n"/>
      <c r="J26" s="13" t="n"/>
      <c r="K26" s="13" t="n"/>
      <c r="L26" s="13" t="n"/>
      <c r="M26" s="14">
        <f>IF(L26="","",L26+4)</f>
        <v/>
      </c>
      <c r="N26" s="13" t="n"/>
      <c r="O26" s="14">
        <f>IF(N26="","",N26+6)</f>
        <v/>
      </c>
      <c r="P26" s="13" t="n"/>
      <c r="Q26" s="13" t="n"/>
      <c r="R26" s="13" t="n"/>
      <c r="S26" s="13" t="n"/>
      <c r="T26" s="12" t="n"/>
      <c r="U26" s="12" t="n"/>
      <c r="V26" s="9" t="n"/>
      <c r="W26" s="13" t="n"/>
      <c r="X26" s="11">
        <f>IF(MAX(I26:L26,N26,P26:S26)=0,"",TODAY()-MAX(I26:L26,N26,P26:S26))</f>
        <v/>
      </c>
      <c r="Y26" s="9" t="n"/>
    </row>
    <row r="27">
      <c r="A27" s="11" t="inlineStr">
        <is>
          <t>G026</t>
        </is>
      </c>
      <c r="B27" s="11">
        <f>IFERROR(INDEX(Leads!$D:$D,MATCH($A27,Leads!$A:$A,0)),"")</f>
        <v/>
      </c>
      <c r="C27" s="11">
        <f>IFERROR(INDEX(Leads!$F:$F,MATCH($A27,Leads!$A:$A,0)),"")</f>
        <v/>
      </c>
      <c r="D27" s="11">
        <f>IFERROR(INDEX(Leads!$G:$G,MATCH($A27,Leads!$A:$A,0)),"")</f>
        <v/>
      </c>
      <c r="E27" s="11">
        <f>IFERROR(INDEX(Leads!$R:$R,MATCH($A27,Leads!$A:$A,0)),"")</f>
        <v/>
      </c>
      <c r="F27" s="11">
        <f>IFERROR(INDEX(Leads!$N:$N,MATCH($A27,Leads!$A:$A,0)),"")</f>
        <v/>
      </c>
      <c r="G27" s="11">
        <f>IFERROR(INDEX(Leads!$J:$J,MATCH($A27,Leads!$A:$A,0)),"")</f>
        <v/>
      </c>
      <c r="H27" s="12" t="inlineStr">
        <is>
          <t>Not started</t>
        </is>
      </c>
      <c r="I27" s="13" t="n"/>
      <c r="J27" s="13" t="n"/>
      <c r="K27" s="13" t="n"/>
      <c r="L27" s="13" t="n"/>
      <c r="M27" s="14">
        <f>IF(L27="","",L27+4)</f>
        <v/>
      </c>
      <c r="N27" s="13" t="n"/>
      <c r="O27" s="14">
        <f>IF(N27="","",N27+6)</f>
        <v/>
      </c>
      <c r="P27" s="13" t="n"/>
      <c r="Q27" s="13" t="n"/>
      <c r="R27" s="13" t="n"/>
      <c r="S27" s="13" t="n"/>
      <c r="T27" s="12" t="n"/>
      <c r="U27" s="12" t="n"/>
      <c r="V27" s="9" t="n"/>
      <c r="W27" s="13" t="n"/>
      <c r="X27" s="11">
        <f>IF(MAX(I27:L27,N27,P27:S27)=0,"",TODAY()-MAX(I27:L27,N27,P27:S27))</f>
        <v/>
      </c>
      <c r="Y27" s="9" t="n"/>
    </row>
    <row r="28">
      <c r="A28" s="11" t="inlineStr">
        <is>
          <t>G027</t>
        </is>
      </c>
      <c r="B28" s="11">
        <f>IFERROR(INDEX(Leads!$D:$D,MATCH($A28,Leads!$A:$A,0)),"")</f>
        <v/>
      </c>
      <c r="C28" s="11">
        <f>IFERROR(INDEX(Leads!$F:$F,MATCH($A28,Leads!$A:$A,0)),"")</f>
        <v/>
      </c>
      <c r="D28" s="11">
        <f>IFERROR(INDEX(Leads!$G:$G,MATCH($A28,Leads!$A:$A,0)),"")</f>
        <v/>
      </c>
      <c r="E28" s="11">
        <f>IFERROR(INDEX(Leads!$R:$R,MATCH($A28,Leads!$A:$A,0)),"")</f>
        <v/>
      </c>
      <c r="F28" s="11">
        <f>IFERROR(INDEX(Leads!$N:$N,MATCH($A28,Leads!$A:$A,0)),"")</f>
        <v/>
      </c>
      <c r="G28" s="11">
        <f>IFERROR(INDEX(Leads!$J:$J,MATCH($A28,Leads!$A:$A,0)),"")</f>
        <v/>
      </c>
      <c r="H28" s="12" t="inlineStr">
        <is>
          <t>Not started</t>
        </is>
      </c>
      <c r="I28" s="13" t="n"/>
      <c r="J28" s="13" t="n"/>
      <c r="K28" s="13" t="n"/>
      <c r="L28" s="13" t="n"/>
      <c r="M28" s="14">
        <f>IF(L28="","",L28+4)</f>
        <v/>
      </c>
      <c r="N28" s="13" t="n"/>
      <c r="O28" s="14">
        <f>IF(N28="","",N28+6)</f>
        <v/>
      </c>
      <c r="P28" s="13" t="n"/>
      <c r="Q28" s="13" t="n"/>
      <c r="R28" s="13" t="n"/>
      <c r="S28" s="13" t="n"/>
      <c r="T28" s="12" t="n"/>
      <c r="U28" s="12" t="n"/>
      <c r="V28" s="9" t="n"/>
      <c r="W28" s="13" t="n"/>
      <c r="X28" s="11">
        <f>IF(MAX(I28:L28,N28,P28:S28)=0,"",TODAY()-MAX(I28:L28,N28,P28:S28))</f>
        <v/>
      </c>
      <c r="Y28" s="9" t="n"/>
    </row>
    <row r="29">
      <c r="A29" s="11" t="inlineStr">
        <is>
          <t>G028</t>
        </is>
      </c>
      <c r="B29" s="11">
        <f>IFERROR(INDEX(Leads!$D:$D,MATCH($A29,Leads!$A:$A,0)),"")</f>
        <v/>
      </c>
      <c r="C29" s="11">
        <f>IFERROR(INDEX(Leads!$F:$F,MATCH($A29,Leads!$A:$A,0)),"")</f>
        <v/>
      </c>
      <c r="D29" s="11">
        <f>IFERROR(INDEX(Leads!$G:$G,MATCH($A29,Leads!$A:$A,0)),"")</f>
        <v/>
      </c>
      <c r="E29" s="11">
        <f>IFERROR(INDEX(Leads!$R:$R,MATCH($A29,Leads!$A:$A,0)),"")</f>
        <v/>
      </c>
      <c r="F29" s="11">
        <f>IFERROR(INDEX(Leads!$N:$N,MATCH($A29,Leads!$A:$A,0)),"")</f>
        <v/>
      </c>
      <c r="G29" s="11">
        <f>IFERROR(INDEX(Leads!$J:$J,MATCH($A29,Leads!$A:$A,0)),"")</f>
        <v/>
      </c>
      <c r="H29" s="12" t="inlineStr">
        <is>
          <t>Not started</t>
        </is>
      </c>
      <c r="I29" s="13" t="n"/>
      <c r="J29" s="13" t="n"/>
      <c r="K29" s="13" t="n"/>
      <c r="L29" s="13" t="n"/>
      <c r="M29" s="14">
        <f>IF(L29="","",L29+4)</f>
        <v/>
      </c>
      <c r="N29" s="13" t="n"/>
      <c r="O29" s="14">
        <f>IF(N29="","",N29+6)</f>
        <v/>
      </c>
      <c r="P29" s="13" t="n"/>
      <c r="Q29" s="13" t="n"/>
      <c r="R29" s="13" t="n"/>
      <c r="S29" s="13" t="n"/>
      <c r="T29" s="12" t="n"/>
      <c r="U29" s="12" t="n"/>
      <c r="V29" s="9" t="n"/>
      <c r="W29" s="13" t="n"/>
      <c r="X29" s="11">
        <f>IF(MAX(I29:L29,N29,P29:S29)=0,"",TODAY()-MAX(I29:L29,N29,P29:S29))</f>
        <v/>
      </c>
      <c r="Y29" s="9" t="n"/>
    </row>
    <row r="30">
      <c r="A30" s="11" t="inlineStr">
        <is>
          <t>G029</t>
        </is>
      </c>
      <c r="B30" s="11">
        <f>IFERROR(INDEX(Leads!$D:$D,MATCH($A30,Leads!$A:$A,0)),"")</f>
        <v/>
      </c>
      <c r="C30" s="11">
        <f>IFERROR(INDEX(Leads!$F:$F,MATCH($A30,Leads!$A:$A,0)),"")</f>
        <v/>
      </c>
      <c r="D30" s="11">
        <f>IFERROR(INDEX(Leads!$G:$G,MATCH($A30,Leads!$A:$A,0)),"")</f>
        <v/>
      </c>
      <c r="E30" s="11">
        <f>IFERROR(INDEX(Leads!$R:$R,MATCH($A30,Leads!$A:$A,0)),"")</f>
        <v/>
      </c>
      <c r="F30" s="11">
        <f>IFERROR(INDEX(Leads!$N:$N,MATCH($A30,Leads!$A:$A,0)),"")</f>
        <v/>
      </c>
      <c r="G30" s="11">
        <f>IFERROR(INDEX(Leads!$J:$J,MATCH($A30,Leads!$A:$A,0)),"")</f>
        <v/>
      </c>
      <c r="H30" s="12" t="inlineStr">
        <is>
          <t>Not started</t>
        </is>
      </c>
      <c r="I30" s="13" t="n"/>
      <c r="J30" s="13" t="n"/>
      <c r="K30" s="13" t="n"/>
      <c r="L30" s="13" t="n"/>
      <c r="M30" s="14">
        <f>IF(L30="","",L30+4)</f>
        <v/>
      </c>
      <c r="N30" s="13" t="n"/>
      <c r="O30" s="14">
        <f>IF(N30="","",N30+6)</f>
        <v/>
      </c>
      <c r="P30" s="13" t="n"/>
      <c r="Q30" s="13" t="n"/>
      <c r="R30" s="13" t="n"/>
      <c r="S30" s="13" t="n"/>
      <c r="T30" s="12" t="n"/>
      <c r="U30" s="12" t="n"/>
      <c r="V30" s="9" t="n"/>
      <c r="W30" s="13" t="n"/>
      <c r="X30" s="11">
        <f>IF(MAX(I30:L30,N30,P30:S30)=0,"",TODAY()-MAX(I30:L30,N30,P30:S30))</f>
        <v/>
      </c>
      <c r="Y30" s="9" t="n"/>
    </row>
    <row r="31">
      <c r="A31" s="11" t="inlineStr">
        <is>
          <t>G030</t>
        </is>
      </c>
      <c r="B31" s="11">
        <f>IFERROR(INDEX(Leads!$D:$D,MATCH($A31,Leads!$A:$A,0)),"")</f>
        <v/>
      </c>
      <c r="C31" s="11">
        <f>IFERROR(INDEX(Leads!$F:$F,MATCH($A31,Leads!$A:$A,0)),"")</f>
        <v/>
      </c>
      <c r="D31" s="11">
        <f>IFERROR(INDEX(Leads!$G:$G,MATCH($A31,Leads!$A:$A,0)),"")</f>
        <v/>
      </c>
      <c r="E31" s="11">
        <f>IFERROR(INDEX(Leads!$R:$R,MATCH($A31,Leads!$A:$A,0)),"")</f>
        <v/>
      </c>
      <c r="F31" s="11">
        <f>IFERROR(INDEX(Leads!$N:$N,MATCH($A31,Leads!$A:$A,0)),"")</f>
        <v/>
      </c>
      <c r="G31" s="11">
        <f>IFERROR(INDEX(Leads!$J:$J,MATCH($A31,Leads!$A:$A,0)),"")</f>
        <v/>
      </c>
      <c r="H31" s="12" t="inlineStr">
        <is>
          <t>Not started</t>
        </is>
      </c>
      <c r="I31" s="13" t="n"/>
      <c r="J31" s="13" t="n"/>
      <c r="K31" s="13" t="n"/>
      <c r="L31" s="13" t="n"/>
      <c r="M31" s="14">
        <f>IF(L31="","",L31+4)</f>
        <v/>
      </c>
      <c r="N31" s="13" t="n"/>
      <c r="O31" s="14">
        <f>IF(N31="","",N31+6)</f>
        <v/>
      </c>
      <c r="P31" s="13" t="n"/>
      <c r="Q31" s="13" t="n"/>
      <c r="R31" s="13" t="n"/>
      <c r="S31" s="13" t="n"/>
      <c r="T31" s="12" t="n"/>
      <c r="U31" s="12" t="n"/>
      <c r="V31" s="9" t="n"/>
      <c r="W31" s="13" t="n"/>
      <c r="X31" s="11">
        <f>IF(MAX(I31:L31,N31,P31:S31)=0,"",TODAY()-MAX(I31:L31,N31,P31:S31))</f>
        <v/>
      </c>
      <c r="Y31" s="9" t="n"/>
    </row>
    <row r="32">
      <c r="A32" s="11" t="inlineStr">
        <is>
          <t>G031</t>
        </is>
      </c>
      <c r="B32" s="11">
        <f>IFERROR(INDEX(Leads!$D:$D,MATCH($A32,Leads!$A:$A,0)),"")</f>
        <v/>
      </c>
      <c r="C32" s="11">
        <f>IFERROR(INDEX(Leads!$F:$F,MATCH($A32,Leads!$A:$A,0)),"")</f>
        <v/>
      </c>
      <c r="D32" s="11">
        <f>IFERROR(INDEX(Leads!$G:$G,MATCH($A32,Leads!$A:$A,0)),"")</f>
        <v/>
      </c>
      <c r="E32" s="11">
        <f>IFERROR(INDEX(Leads!$R:$R,MATCH($A32,Leads!$A:$A,0)),"")</f>
        <v/>
      </c>
      <c r="F32" s="11">
        <f>IFERROR(INDEX(Leads!$N:$N,MATCH($A32,Leads!$A:$A,0)),"")</f>
        <v/>
      </c>
      <c r="G32" s="11">
        <f>IFERROR(INDEX(Leads!$J:$J,MATCH($A32,Leads!$A:$A,0)),"")</f>
        <v/>
      </c>
      <c r="H32" s="12" t="inlineStr">
        <is>
          <t>Not started</t>
        </is>
      </c>
      <c r="I32" s="13" t="n"/>
      <c r="J32" s="13" t="n"/>
      <c r="K32" s="13" t="n"/>
      <c r="L32" s="13" t="n"/>
      <c r="M32" s="14">
        <f>IF(L32="","",L32+4)</f>
        <v/>
      </c>
      <c r="N32" s="13" t="n"/>
      <c r="O32" s="14">
        <f>IF(N32="","",N32+6)</f>
        <v/>
      </c>
      <c r="P32" s="13" t="n"/>
      <c r="Q32" s="13" t="n"/>
      <c r="R32" s="13" t="n"/>
      <c r="S32" s="13" t="n"/>
      <c r="T32" s="12" t="n"/>
      <c r="U32" s="12" t="n"/>
      <c r="V32" s="9" t="n"/>
      <c r="W32" s="13" t="n"/>
      <c r="X32" s="11">
        <f>IF(MAX(I32:L32,N32,P32:S32)=0,"",TODAY()-MAX(I32:L32,N32,P32:S32))</f>
        <v/>
      </c>
      <c r="Y32" s="9" t="n"/>
    </row>
    <row r="33">
      <c r="A33" s="11" t="inlineStr">
        <is>
          <t>G032</t>
        </is>
      </c>
      <c r="B33" s="11">
        <f>IFERROR(INDEX(Leads!$D:$D,MATCH($A33,Leads!$A:$A,0)),"")</f>
        <v/>
      </c>
      <c r="C33" s="11">
        <f>IFERROR(INDEX(Leads!$F:$F,MATCH($A33,Leads!$A:$A,0)),"")</f>
        <v/>
      </c>
      <c r="D33" s="11">
        <f>IFERROR(INDEX(Leads!$G:$G,MATCH($A33,Leads!$A:$A,0)),"")</f>
        <v/>
      </c>
      <c r="E33" s="11">
        <f>IFERROR(INDEX(Leads!$R:$R,MATCH($A33,Leads!$A:$A,0)),"")</f>
        <v/>
      </c>
      <c r="F33" s="11">
        <f>IFERROR(INDEX(Leads!$N:$N,MATCH($A33,Leads!$A:$A,0)),"")</f>
        <v/>
      </c>
      <c r="G33" s="11">
        <f>IFERROR(INDEX(Leads!$J:$J,MATCH($A33,Leads!$A:$A,0)),"")</f>
        <v/>
      </c>
      <c r="H33" s="12" t="inlineStr">
        <is>
          <t>Not started</t>
        </is>
      </c>
      <c r="I33" s="13" t="n"/>
      <c r="J33" s="13" t="n"/>
      <c r="K33" s="13" t="n"/>
      <c r="L33" s="13" t="n"/>
      <c r="M33" s="14">
        <f>IF(L33="","",L33+4)</f>
        <v/>
      </c>
      <c r="N33" s="13" t="n"/>
      <c r="O33" s="14">
        <f>IF(N33="","",N33+6)</f>
        <v/>
      </c>
      <c r="P33" s="13" t="n"/>
      <c r="Q33" s="13" t="n"/>
      <c r="R33" s="13" t="n"/>
      <c r="S33" s="13" t="n"/>
      <c r="T33" s="12" t="n"/>
      <c r="U33" s="12" t="n"/>
      <c r="V33" s="9" t="n"/>
      <c r="W33" s="13" t="n"/>
      <c r="X33" s="11">
        <f>IF(MAX(I33:L33,N33,P33:S33)=0,"",TODAY()-MAX(I33:L33,N33,P33:S33))</f>
        <v/>
      </c>
      <c r="Y33" s="9" t="n"/>
    </row>
    <row r="34">
      <c r="A34" s="11" t="inlineStr">
        <is>
          <t>G033</t>
        </is>
      </c>
      <c r="B34" s="11">
        <f>IFERROR(INDEX(Leads!$D:$D,MATCH($A34,Leads!$A:$A,0)),"")</f>
        <v/>
      </c>
      <c r="C34" s="11">
        <f>IFERROR(INDEX(Leads!$F:$F,MATCH($A34,Leads!$A:$A,0)),"")</f>
        <v/>
      </c>
      <c r="D34" s="11">
        <f>IFERROR(INDEX(Leads!$G:$G,MATCH($A34,Leads!$A:$A,0)),"")</f>
        <v/>
      </c>
      <c r="E34" s="11">
        <f>IFERROR(INDEX(Leads!$R:$R,MATCH($A34,Leads!$A:$A,0)),"")</f>
        <v/>
      </c>
      <c r="F34" s="11">
        <f>IFERROR(INDEX(Leads!$N:$N,MATCH($A34,Leads!$A:$A,0)),"")</f>
        <v/>
      </c>
      <c r="G34" s="11">
        <f>IFERROR(INDEX(Leads!$J:$J,MATCH($A34,Leads!$A:$A,0)),"")</f>
        <v/>
      </c>
      <c r="H34" s="12" t="inlineStr">
        <is>
          <t>Not started</t>
        </is>
      </c>
      <c r="I34" s="13" t="n"/>
      <c r="J34" s="13" t="n"/>
      <c r="K34" s="13" t="n"/>
      <c r="L34" s="13" t="n"/>
      <c r="M34" s="14">
        <f>IF(L34="","",L34+4)</f>
        <v/>
      </c>
      <c r="N34" s="13" t="n"/>
      <c r="O34" s="14">
        <f>IF(N34="","",N34+6)</f>
        <v/>
      </c>
      <c r="P34" s="13" t="n"/>
      <c r="Q34" s="13" t="n"/>
      <c r="R34" s="13" t="n"/>
      <c r="S34" s="13" t="n"/>
      <c r="T34" s="12" t="n"/>
      <c r="U34" s="12" t="n"/>
      <c r="V34" s="9" t="n"/>
      <c r="W34" s="13" t="n"/>
      <c r="X34" s="11">
        <f>IF(MAX(I34:L34,N34,P34:S34)=0,"",TODAY()-MAX(I34:L34,N34,P34:S34))</f>
        <v/>
      </c>
      <c r="Y34" s="9" t="n"/>
    </row>
    <row r="35">
      <c r="A35" s="11" t="inlineStr">
        <is>
          <t>G034</t>
        </is>
      </c>
      <c r="B35" s="11">
        <f>IFERROR(INDEX(Leads!$D:$D,MATCH($A35,Leads!$A:$A,0)),"")</f>
        <v/>
      </c>
      <c r="C35" s="11">
        <f>IFERROR(INDEX(Leads!$F:$F,MATCH($A35,Leads!$A:$A,0)),"")</f>
        <v/>
      </c>
      <c r="D35" s="11">
        <f>IFERROR(INDEX(Leads!$G:$G,MATCH($A35,Leads!$A:$A,0)),"")</f>
        <v/>
      </c>
      <c r="E35" s="11">
        <f>IFERROR(INDEX(Leads!$R:$R,MATCH($A35,Leads!$A:$A,0)),"")</f>
        <v/>
      </c>
      <c r="F35" s="11">
        <f>IFERROR(INDEX(Leads!$N:$N,MATCH($A35,Leads!$A:$A,0)),"")</f>
        <v/>
      </c>
      <c r="G35" s="11">
        <f>IFERROR(INDEX(Leads!$J:$J,MATCH($A35,Leads!$A:$A,0)),"")</f>
        <v/>
      </c>
      <c r="H35" s="12" t="inlineStr">
        <is>
          <t>Not started</t>
        </is>
      </c>
      <c r="I35" s="13" t="n"/>
      <c r="J35" s="13" t="n"/>
      <c r="K35" s="13" t="n"/>
      <c r="L35" s="13" t="n"/>
      <c r="M35" s="14">
        <f>IF(L35="","",L35+4)</f>
        <v/>
      </c>
      <c r="N35" s="13" t="n"/>
      <c r="O35" s="14">
        <f>IF(N35="","",N35+6)</f>
        <v/>
      </c>
      <c r="P35" s="13" t="n"/>
      <c r="Q35" s="13" t="n"/>
      <c r="R35" s="13" t="n"/>
      <c r="S35" s="13" t="n"/>
      <c r="T35" s="12" t="n"/>
      <c r="U35" s="12" t="n"/>
      <c r="V35" s="9" t="n"/>
      <c r="W35" s="13" t="n"/>
      <c r="X35" s="11">
        <f>IF(MAX(I35:L35,N35,P35:S35)=0,"",TODAY()-MAX(I35:L35,N35,P35:S35))</f>
        <v/>
      </c>
      <c r="Y35" s="9" t="n"/>
    </row>
    <row r="36">
      <c r="A36" s="11" t="inlineStr">
        <is>
          <t>G035</t>
        </is>
      </c>
      <c r="B36" s="11">
        <f>IFERROR(INDEX(Leads!$D:$D,MATCH($A36,Leads!$A:$A,0)),"")</f>
        <v/>
      </c>
      <c r="C36" s="11">
        <f>IFERROR(INDEX(Leads!$F:$F,MATCH($A36,Leads!$A:$A,0)),"")</f>
        <v/>
      </c>
      <c r="D36" s="11">
        <f>IFERROR(INDEX(Leads!$G:$G,MATCH($A36,Leads!$A:$A,0)),"")</f>
        <v/>
      </c>
      <c r="E36" s="11">
        <f>IFERROR(INDEX(Leads!$R:$R,MATCH($A36,Leads!$A:$A,0)),"")</f>
        <v/>
      </c>
      <c r="F36" s="11">
        <f>IFERROR(INDEX(Leads!$N:$N,MATCH($A36,Leads!$A:$A,0)),"")</f>
        <v/>
      </c>
      <c r="G36" s="11">
        <f>IFERROR(INDEX(Leads!$J:$J,MATCH($A36,Leads!$A:$A,0)),"")</f>
        <v/>
      </c>
      <c r="H36" s="12" t="inlineStr">
        <is>
          <t>Not started</t>
        </is>
      </c>
      <c r="I36" s="13" t="n"/>
      <c r="J36" s="13" t="n"/>
      <c r="K36" s="13" t="n"/>
      <c r="L36" s="13" t="n"/>
      <c r="M36" s="14">
        <f>IF(L36="","",L36+4)</f>
        <v/>
      </c>
      <c r="N36" s="13" t="n"/>
      <c r="O36" s="14">
        <f>IF(N36="","",N36+6)</f>
        <v/>
      </c>
      <c r="P36" s="13" t="n"/>
      <c r="Q36" s="13" t="n"/>
      <c r="R36" s="13" t="n"/>
      <c r="S36" s="13" t="n"/>
      <c r="T36" s="12" t="n"/>
      <c r="U36" s="12" t="n"/>
      <c r="V36" s="9" t="n"/>
      <c r="W36" s="13" t="n"/>
      <c r="X36" s="11">
        <f>IF(MAX(I36:L36,N36,P36:S36)=0,"",TODAY()-MAX(I36:L36,N36,P36:S36))</f>
        <v/>
      </c>
      <c r="Y36" s="9" t="n"/>
    </row>
    <row r="37">
      <c r="A37" s="11" t="inlineStr">
        <is>
          <t>G036</t>
        </is>
      </c>
      <c r="B37" s="11">
        <f>IFERROR(INDEX(Leads!$D:$D,MATCH($A37,Leads!$A:$A,0)),"")</f>
        <v/>
      </c>
      <c r="C37" s="11">
        <f>IFERROR(INDEX(Leads!$F:$F,MATCH($A37,Leads!$A:$A,0)),"")</f>
        <v/>
      </c>
      <c r="D37" s="11">
        <f>IFERROR(INDEX(Leads!$G:$G,MATCH($A37,Leads!$A:$A,0)),"")</f>
        <v/>
      </c>
      <c r="E37" s="11">
        <f>IFERROR(INDEX(Leads!$R:$R,MATCH($A37,Leads!$A:$A,0)),"")</f>
        <v/>
      </c>
      <c r="F37" s="11">
        <f>IFERROR(INDEX(Leads!$N:$N,MATCH($A37,Leads!$A:$A,0)),"")</f>
        <v/>
      </c>
      <c r="G37" s="11">
        <f>IFERROR(INDEX(Leads!$J:$J,MATCH($A37,Leads!$A:$A,0)),"")</f>
        <v/>
      </c>
      <c r="H37" s="12" t="inlineStr">
        <is>
          <t>Not started</t>
        </is>
      </c>
      <c r="I37" s="13" t="n"/>
      <c r="J37" s="13" t="n"/>
      <c r="K37" s="13" t="n"/>
      <c r="L37" s="13" t="n"/>
      <c r="M37" s="14">
        <f>IF(L37="","",L37+4)</f>
        <v/>
      </c>
      <c r="N37" s="13" t="n"/>
      <c r="O37" s="14">
        <f>IF(N37="","",N37+6)</f>
        <v/>
      </c>
      <c r="P37" s="13" t="n"/>
      <c r="Q37" s="13" t="n"/>
      <c r="R37" s="13" t="n"/>
      <c r="S37" s="13" t="n"/>
      <c r="T37" s="12" t="n"/>
      <c r="U37" s="12" t="n"/>
      <c r="V37" s="9" t="n"/>
      <c r="W37" s="13" t="n"/>
      <c r="X37" s="11">
        <f>IF(MAX(I37:L37,N37,P37:S37)=0,"",TODAY()-MAX(I37:L37,N37,P37:S37))</f>
        <v/>
      </c>
      <c r="Y37" s="9" t="n"/>
    </row>
    <row r="38">
      <c r="A38" s="11" t="inlineStr">
        <is>
          <t>G037</t>
        </is>
      </c>
      <c r="B38" s="11">
        <f>IFERROR(INDEX(Leads!$D:$D,MATCH($A38,Leads!$A:$A,0)),"")</f>
        <v/>
      </c>
      <c r="C38" s="11">
        <f>IFERROR(INDEX(Leads!$F:$F,MATCH($A38,Leads!$A:$A,0)),"")</f>
        <v/>
      </c>
      <c r="D38" s="11">
        <f>IFERROR(INDEX(Leads!$G:$G,MATCH($A38,Leads!$A:$A,0)),"")</f>
        <v/>
      </c>
      <c r="E38" s="11">
        <f>IFERROR(INDEX(Leads!$R:$R,MATCH($A38,Leads!$A:$A,0)),"")</f>
        <v/>
      </c>
      <c r="F38" s="11">
        <f>IFERROR(INDEX(Leads!$N:$N,MATCH($A38,Leads!$A:$A,0)),"")</f>
        <v/>
      </c>
      <c r="G38" s="11">
        <f>IFERROR(INDEX(Leads!$J:$J,MATCH($A38,Leads!$A:$A,0)),"")</f>
        <v/>
      </c>
      <c r="H38" s="12" t="inlineStr">
        <is>
          <t>Not started</t>
        </is>
      </c>
      <c r="I38" s="13" t="n"/>
      <c r="J38" s="13" t="n"/>
      <c r="K38" s="13" t="n"/>
      <c r="L38" s="13" t="n"/>
      <c r="M38" s="14">
        <f>IF(L38="","",L38+4)</f>
        <v/>
      </c>
      <c r="N38" s="13" t="n"/>
      <c r="O38" s="14">
        <f>IF(N38="","",N38+6)</f>
        <v/>
      </c>
      <c r="P38" s="13" t="n"/>
      <c r="Q38" s="13" t="n"/>
      <c r="R38" s="13" t="n"/>
      <c r="S38" s="13" t="n"/>
      <c r="T38" s="12" t="n"/>
      <c r="U38" s="12" t="n"/>
      <c r="V38" s="9" t="n"/>
      <c r="W38" s="13" t="n"/>
      <c r="X38" s="11">
        <f>IF(MAX(I38:L38,N38,P38:S38)=0,"",TODAY()-MAX(I38:L38,N38,P38:S38))</f>
        <v/>
      </c>
      <c r="Y38" s="9" t="n"/>
    </row>
    <row r="39">
      <c r="A39" s="11" t="inlineStr">
        <is>
          <t>G038</t>
        </is>
      </c>
      <c r="B39" s="11">
        <f>IFERROR(INDEX(Leads!$D:$D,MATCH($A39,Leads!$A:$A,0)),"")</f>
        <v/>
      </c>
      <c r="C39" s="11">
        <f>IFERROR(INDEX(Leads!$F:$F,MATCH($A39,Leads!$A:$A,0)),"")</f>
        <v/>
      </c>
      <c r="D39" s="11">
        <f>IFERROR(INDEX(Leads!$G:$G,MATCH($A39,Leads!$A:$A,0)),"")</f>
        <v/>
      </c>
      <c r="E39" s="11">
        <f>IFERROR(INDEX(Leads!$R:$R,MATCH($A39,Leads!$A:$A,0)),"")</f>
        <v/>
      </c>
      <c r="F39" s="11">
        <f>IFERROR(INDEX(Leads!$N:$N,MATCH($A39,Leads!$A:$A,0)),"")</f>
        <v/>
      </c>
      <c r="G39" s="11">
        <f>IFERROR(INDEX(Leads!$J:$J,MATCH($A39,Leads!$A:$A,0)),"")</f>
        <v/>
      </c>
      <c r="H39" s="12" t="inlineStr">
        <is>
          <t>Not started</t>
        </is>
      </c>
      <c r="I39" s="13" t="n"/>
      <c r="J39" s="13" t="n"/>
      <c r="K39" s="13" t="n"/>
      <c r="L39" s="13" t="n"/>
      <c r="M39" s="14">
        <f>IF(L39="","",L39+4)</f>
        <v/>
      </c>
      <c r="N39" s="13" t="n"/>
      <c r="O39" s="14">
        <f>IF(N39="","",N39+6)</f>
        <v/>
      </c>
      <c r="P39" s="13" t="n"/>
      <c r="Q39" s="13" t="n"/>
      <c r="R39" s="13" t="n"/>
      <c r="S39" s="13" t="n"/>
      <c r="T39" s="12" t="n"/>
      <c r="U39" s="12" t="n"/>
      <c r="V39" s="9" t="n"/>
      <c r="W39" s="13" t="n"/>
      <c r="X39" s="11">
        <f>IF(MAX(I39:L39,N39,P39:S39)=0,"",TODAY()-MAX(I39:L39,N39,P39:S39))</f>
        <v/>
      </c>
      <c r="Y39" s="9" t="n"/>
    </row>
    <row r="40">
      <c r="A40" s="11" t="inlineStr">
        <is>
          <t>G039</t>
        </is>
      </c>
      <c r="B40" s="11">
        <f>IFERROR(INDEX(Leads!$D:$D,MATCH($A40,Leads!$A:$A,0)),"")</f>
        <v/>
      </c>
      <c r="C40" s="11">
        <f>IFERROR(INDEX(Leads!$F:$F,MATCH($A40,Leads!$A:$A,0)),"")</f>
        <v/>
      </c>
      <c r="D40" s="11">
        <f>IFERROR(INDEX(Leads!$G:$G,MATCH($A40,Leads!$A:$A,0)),"")</f>
        <v/>
      </c>
      <c r="E40" s="11">
        <f>IFERROR(INDEX(Leads!$R:$R,MATCH($A40,Leads!$A:$A,0)),"")</f>
        <v/>
      </c>
      <c r="F40" s="11">
        <f>IFERROR(INDEX(Leads!$N:$N,MATCH($A40,Leads!$A:$A,0)),"")</f>
        <v/>
      </c>
      <c r="G40" s="11">
        <f>IFERROR(INDEX(Leads!$J:$J,MATCH($A40,Leads!$A:$A,0)),"")</f>
        <v/>
      </c>
      <c r="H40" s="12" t="inlineStr">
        <is>
          <t>Not started</t>
        </is>
      </c>
      <c r="I40" s="13" t="n"/>
      <c r="J40" s="13" t="n"/>
      <c r="K40" s="13" t="n"/>
      <c r="L40" s="13" t="n"/>
      <c r="M40" s="14">
        <f>IF(L40="","",L40+4)</f>
        <v/>
      </c>
      <c r="N40" s="13" t="n"/>
      <c r="O40" s="14">
        <f>IF(N40="","",N40+6)</f>
        <v/>
      </c>
      <c r="P40" s="13" t="n"/>
      <c r="Q40" s="13" t="n"/>
      <c r="R40" s="13" t="n"/>
      <c r="S40" s="13" t="n"/>
      <c r="T40" s="12" t="n"/>
      <c r="U40" s="12" t="n"/>
      <c r="V40" s="9" t="n"/>
      <c r="W40" s="13" t="n"/>
      <c r="X40" s="11">
        <f>IF(MAX(I40:L40,N40,P40:S40)=0,"",TODAY()-MAX(I40:L40,N40,P40:S40))</f>
        <v/>
      </c>
      <c r="Y40" s="9" t="n"/>
    </row>
    <row r="41">
      <c r="A41" s="11" t="inlineStr">
        <is>
          <t>G040</t>
        </is>
      </c>
      <c r="B41" s="11">
        <f>IFERROR(INDEX(Leads!$D:$D,MATCH($A41,Leads!$A:$A,0)),"")</f>
        <v/>
      </c>
      <c r="C41" s="11">
        <f>IFERROR(INDEX(Leads!$F:$F,MATCH($A41,Leads!$A:$A,0)),"")</f>
        <v/>
      </c>
      <c r="D41" s="11">
        <f>IFERROR(INDEX(Leads!$G:$G,MATCH($A41,Leads!$A:$A,0)),"")</f>
        <v/>
      </c>
      <c r="E41" s="11">
        <f>IFERROR(INDEX(Leads!$R:$R,MATCH($A41,Leads!$A:$A,0)),"")</f>
        <v/>
      </c>
      <c r="F41" s="11">
        <f>IFERROR(INDEX(Leads!$N:$N,MATCH($A41,Leads!$A:$A,0)),"")</f>
        <v/>
      </c>
      <c r="G41" s="11">
        <f>IFERROR(INDEX(Leads!$J:$J,MATCH($A41,Leads!$A:$A,0)),"")</f>
        <v/>
      </c>
      <c r="H41" s="12" t="inlineStr">
        <is>
          <t>Not started</t>
        </is>
      </c>
      <c r="I41" s="13" t="n"/>
      <c r="J41" s="13" t="n"/>
      <c r="K41" s="13" t="n"/>
      <c r="L41" s="13" t="n"/>
      <c r="M41" s="14">
        <f>IF(L41="","",L41+4)</f>
        <v/>
      </c>
      <c r="N41" s="13" t="n"/>
      <c r="O41" s="14">
        <f>IF(N41="","",N41+6)</f>
        <v/>
      </c>
      <c r="P41" s="13" t="n"/>
      <c r="Q41" s="13" t="n"/>
      <c r="R41" s="13" t="n"/>
      <c r="S41" s="13" t="n"/>
      <c r="T41" s="12" t="n"/>
      <c r="U41" s="12" t="n"/>
      <c r="V41" s="9" t="n"/>
      <c r="W41" s="13" t="n"/>
      <c r="X41" s="11">
        <f>IF(MAX(I41:L41,N41,P41:S41)=0,"",TODAY()-MAX(I41:L41,N41,P41:S41))</f>
        <v/>
      </c>
      <c r="Y41" s="9" t="n"/>
    </row>
    <row r="42">
      <c r="A42" s="11" t="inlineStr">
        <is>
          <t>G041</t>
        </is>
      </c>
      <c r="B42" s="11">
        <f>IFERROR(INDEX(Leads!$D:$D,MATCH($A42,Leads!$A:$A,0)),"")</f>
        <v/>
      </c>
      <c r="C42" s="11">
        <f>IFERROR(INDEX(Leads!$F:$F,MATCH($A42,Leads!$A:$A,0)),"")</f>
        <v/>
      </c>
      <c r="D42" s="11">
        <f>IFERROR(INDEX(Leads!$G:$G,MATCH($A42,Leads!$A:$A,0)),"")</f>
        <v/>
      </c>
      <c r="E42" s="11">
        <f>IFERROR(INDEX(Leads!$R:$R,MATCH($A42,Leads!$A:$A,0)),"")</f>
        <v/>
      </c>
      <c r="F42" s="11">
        <f>IFERROR(INDEX(Leads!$N:$N,MATCH($A42,Leads!$A:$A,0)),"")</f>
        <v/>
      </c>
      <c r="G42" s="11">
        <f>IFERROR(INDEX(Leads!$J:$J,MATCH($A42,Leads!$A:$A,0)),"")</f>
        <v/>
      </c>
      <c r="H42" s="12" t="inlineStr">
        <is>
          <t>Not started</t>
        </is>
      </c>
      <c r="I42" s="13" t="n"/>
      <c r="J42" s="13" t="n"/>
      <c r="K42" s="13" t="n"/>
      <c r="L42" s="13" t="n"/>
      <c r="M42" s="14">
        <f>IF(L42="","",L42+4)</f>
        <v/>
      </c>
      <c r="N42" s="13" t="n"/>
      <c r="O42" s="14">
        <f>IF(N42="","",N42+6)</f>
        <v/>
      </c>
      <c r="P42" s="13" t="n"/>
      <c r="Q42" s="13" t="n"/>
      <c r="R42" s="13" t="n"/>
      <c r="S42" s="13" t="n"/>
      <c r="T42" s="12" t="n"/>
      <c r="U42" s="12" t="n"/>
      <c r="V42" s="9" t="n"/>
      <c r="W42" s="13" t="n"/>
      <c r="X42" s="11">
        <f>IF(MAX(I42:L42,N42,P42:S42)=0,"",TODAY()-MAX(I42:L42,N42,P42:S42))</f>
        <v/>
      </c>
      <c r="Y42" s="9" t="n"/>
    </row>
    <row r="43">
      <c r="A43" s="11" t="inlineStr">
        <is>
          <t>G042</t>
        </is>
      </c>
      <c r="B43" s="11">
        <f>IFERROR(INDEX(Leads!$D:$D,MATCH($A43,Leads!$A:$A,0)),"")</f>
        <v/>
      </c>
      <c r="C43" s="11">
        <f>IFERROR(INDEX(Leads!$F:$F,MATCH($A43,Leads!$A:$A,0)),"")</f>
        <v/>
      </c>
      <c r="D43" s="11">
        <f>IFERROR(INDEX(Leads!$G:$G,MATCH($A43,Leads!$A:$A,0)),"")</f>
        <v/>
      </c>
      <c r="E43" s="11">
        <f>IFERROR(INDEX(Leads!$R:$R,MATCH($A43,Leads!$A:$A,0)),"")</f>
        <v/>
      </c>
      <c r="F43" s="11">
        <f>IFERROR(INDEX(Leads!$N:$N,MATCH($A43,Leads!$A:$A,0)),"")</f>
        <v/>
      </c>
      <c r="G43" s="11">
        <f>IFERROR(INDEX(Leads!$J:$J,MATCH($A43,Leads!$A:$A,0)),"")</f>
        <v/>
      </c>
      <c r="H43" s="12" t="inlineStr">
        <is>
          <t>Not started</t>
        </is>
      </c>
      <c r="I43" s="13" t="n"/>
      <c r="J43" s="13" t="n"/>
      <c r="K43" s="13" t="n"/>
      <c r="L43" s="13" t="n"/>
      <c r="M43" s="14">
        <f>IF(L43="","",L43+4)</f>
        <v/>
      </c>
      <c r="N43" s="13" t="n"/>
      <c r="O43" s="14">
        <f>IF(N43="","",N43+6)</f>
        <v/>
      </c>
      <c r="P43" s="13" t="n"/>
      <c r="Q43" s="13" t="n"/>
      <c r="R43" s="13" t="n"/>
      <c r="S43" s="13" t="n"/>
      <c r="T43" s="12" t="n"/>
      <c r="U43" s="12" t="n"/>
      <c r="V43" s="9" t="n"/>
      <c r="W43" s="13" t="n"/>
      <c r="X43" s="11">
        <f>IF(MAX(I43:L43,N43,P43:S43)=0,"",TODAY()-MAX(I43:L43,N43,P43:S43))</f>
        <v/>
      </c>
      <c r="Y43" s="9" t="n"/>
    </row>
    <row r="44">
      <c r="A44" s="11" t="inlineStr">
        <is>
          <t>G043</t>
        </is>
      </c>
      <c r="B44" s="11">
        <f>IFERROR(INDEX(Leads!$D:$D,MATCH($A44,Leads!$A:$A,0)),"")</f>
        <v/>
      </c>
      <c r="C44" s="11">
        <f>IFERROR(INDEX(Leads!$F:$F,MATCH($A44,Leads!$A:$A,0)),"")</f>
        <v/>
      </c>
      <c r="D44" s="11">
        <f>IFERROR(INDEX(Leads!$G:$G,MATCH($A44,Leads!$A:$A,0)),"")</f>
        <v/>
      </c>
      <c r="E44" s="11">
        <f>IFERROR(INDEX(Leads!$R:$R,MATCH($A44,Leads!$A:$A,0)),"")</f>
        <v/>
      </c>
      <c r="F44" s="11">
        <f>IFERROR(INDEX(Leads!$N:$N,MATCH($A44,Leads!$A:$A,0)),"")</f>
        <v/>
      </c>
      <c r="G44" s="11">
        <f>IFERROR(INDEX(Leads!$J:$J,MATCH($A44,Leads!$A:$A,0)),"")</f>
        <v/>
      </c>
      <c r="H44" s="12" t="inlineStr">
        <is>
          <t>Not started</t>
        </is>
      </c>
      <c r="I44" s="13" t="n"/>
      <c r="J44" s="13" t="n"/>
      <c r="K44" s="13" t="n"/>
      <c r="L44" s="13" t="n"/>
      <c r="M44" s="14">
        <f>IF(L44="","",L44+4)</f>
        <v/>
      </c>
      <c r="N44" s="13" t="n"/>
      <c r="O44" s="14">
        <f>IF(N44="","",N44+6)</f>
        <v/>
      </c>
      <c r="P44" s="13" t="n"/>
      <c r="Q44" s="13" t="n"/>
      <c r="R44" s="13" t="n"/>
      <c r="S44" s="13" t="n"/>
      <c r="T44" s="12" t="n"/>
      <c r="U44" s="12" t="n"/>
      <c r="V44" s="9" t="n"/>
      <c r="W44" s="13" t="n"/>
      <c r="X44" s="11">
        <f>IF(MAX(I44:L44,N44,P44:S44)=0,"",TODAY()-MAX(I44:L44,N44,P44:S44))</f>
        <v/>
      </c>
      <c r="Y44" s="9" t="n"/>
    </row>
    <row r="45">
      <c r="A45" s="11" t="inlineStr">
        <is>
          <t>G044</t>
        </is>
      </c>
      <c r="B45" s="11">
        <f>IFERROR(INDEX(Leads!$D:$D,MATCH($A45,Leads!$A:$A,0)),"")</f>
        <v/>
      </c>
      <c r="C45" s="11">
        <f>IFERROR(INDEX(Leads!$F:$F,MATCH($A45,Leads!$A:$A,0)),"")</f>
        <v/>
      </c>
      <c r="D45" s="11">
        <f>IFERROR(INDEX(Leads!$G:$G,MATCH($A45,Leads!$A:$A,0)),"")</f>
        <v/>
      </c>
      <c r="E45" s="11">
        <f>IFERROR(INDEX(Leads!$R:$R,MATCH($A45,Leads!$A:$A,0)),"")</f>
        <v/>
      </c>
      <c r="F45" s="11">
        <f>IFERROR(INDEX(Leads!$N:$N,MATCH($A45,Leads!$A:$A,0)),"")</f>
        <v/>
      </c>
      <c r="G45" s="11">
        <f>IFERROR(INDEX(Leads!$J:$J,MATCH($A45,Leads!$A:$A,0)),"")</f>
        <v/>
      </c>
      <c r="H45" s="12" t="inlineStr">
        <is>
          <t>Not started</t>
        </is>
      </c>
      <c r="I45" s="13" t="n"/>
      <c r="J45" s="13" t="n"/>
      <c r="K45" s="13" t="n"/>
      <c r="L45" s="13" t="n"/>
      <c r="M45" s="14">
        <f>IF(L45="","",L45+4)</f>
        <v/>
      </c>
      <c r="N45" s="13" t="n"/>
      <c r="O45" s="14">
        <f>IF(N45="","",N45+6)</f>
        <v/>
      </c>
      <c r="P45" s="13" t="n"/>
      <c r="Q45" s="13" t="n"/>
      <c r="R45" s="13" t="n"/>
      <c r="S45" s="13" t="n"/>
      <c r="T45" s="12" t="n"/>
      <c r="U45" s="12" t="n"/>
      <c r="V45" s="9" t="n"/>
      <c r="W45" s="13" t="n"/>
      <c r="X45" s="11">
        <f>IF(MAX(I45:L45,N45,P45:S45)=0,"",TODAY()-MAX(I45:L45,N45,P45:S45))</f>
        <v/>
      </c>
      <c r="Y45" s="9" t="n"/>
    </row>
    <row r="46">
      <c r="A46" s="11" t="inlineStr">
        <is>
          <t>G045</t>
        </is>
      </c>
      <c r="B46" s="11">
        <f>IFERROR(INDEX(Leads!$D:$D,MATCH($A46,Leads!$A:$A,0)),"")</f>
        <v/>
      </c>
      <c r="C46" s="11">
        <f>IFERROR(INDEX(Leads!$F:$F,MATCH($A46,Leads!$A:$A,0)),"")</f>
        <v/>
      </c>
      <c r="D46" s="11">
        <f>IFERROR(INDEX(Leads!$G:$G,MATCH($A46,Leads!$A:$A,0)),"")</f>
        <v/>
      </c>
      <c r="E46" s="11">
        <f>IFERROR(INDEX(Leads!$R:$R,MATCH($A46,Leads!$A:$A,0)),"")</f>
        <v/>
      </c>
      <c r="F46" s="11">
        <f>IFERROR(INDEX(Leads!$N:$N,MATCH($A46,Leads!$A:$A,0)),"")</f>
        <v/>
      </c>
      <c r="G46" s="11">
        <f>IFERROR(INDEX(Leads!$J:$J,MATCH($A46,Leads!$A:$A,0)),"")</f>
        <v/>
      </c>
      <c r="H46" s="12" t="inlineStr">
        <is>
          <t>Not started</t>
        </is>
      </c>
      <c r="I46" s="13" t="n"/>
      <c r="J46" s="13" t="n"/>
      <c r="K46" s="13" t="n"/>
      <c r="L46" s="13" t="n"/>
      <c r="M46" s="14">
        <f>IF(L46="","",L46+4)</f>
        <v/>
      </c>
      <c r="N46" s="13" t="n"/>
      <c r="O46" s="14">
        <f>IF(N46="","",N46+6)</f>
        <v/>
      </c>
      <c r="P46" s="13" t="n"/>
      <c r="Q46" s="13" t="n"/>
      <c r="R46" s="13" t="n"/>
      <c r="S46" s="13" t="n"/>
      <c r="T46" s="12" t="n"/>
      <c r="U46" s="12" t="n"/>
      <c r="V46" s="9" t="n"/>
      <c r="W46" s="13" t="n"/>
      <c r="X46" s="11">
        <f>IF(MAX(I46:L46,N46,P46:S46)=0,"",TODAY()-MAX(I46:L46,N46,P46:S46))</f>
        <v/>
      </c>
      <c r="Y46" s="9" t="n"/>
    </row>
    <row r="47">
      <c r="A47" s="11" t="inlineStr">
        <is>
          <t>G046</t>
        </is>
      </c>
      <c r="B47" s="11">
        <f>IFERROR(INDEX(Leads!$D:$D,MATCH($A47,Leads!$A:$A,0)),"")</f>
        <v/>
      </c>
      <c r="C47" s="11">
        <f>IFERROR(INDEX(Leads!$F:$F,MATCH($A47,Leads!$A:$A,0)),"")</f>
        <v/>
      </c>
      <c r="D47" s="11">
        <f>IFERROR(INDEX(Leads!$G:$G,MATCH($A47,Leads!$A:$A,0)),"")</f>
        <v/>
      </c>
      <c r="E47" s="11">
        <f>IFERROR(INDEX(Leads!$R:$R,MATCH($A47,Leads!$A:$A,0)),"")</f>
        <v/>
      </c>
      <c r="F47" s="11">
        <f>IFERROR(INDEX(Leads!$N:$N,MATCH($A47,Leads!$A:$A,0)),"")</f>
        <v/>
      </c>
      <c r="G47" s="11">
        <f>IFERROR(INDEX(Leads!$J:$J,MATCH($A47,Leads!$A:$A,0)),"")</f>
        <v/>
      </c>
      <c r="H47" s="12" t="inlineStr">
        <is>
          <t>Not started</t>
        </is>
      </c>
      <c r="I47" s="13" t="n"/>
      <c r="J47" s="13" t="n"/>
      <c r="K47" s="13" t="n"/>
      <c r="L47" s="13" t="n"/>
      <c r="M47" s="14">
        <f>IF(L47="","",L47+4)</f>
        <v/>
      </c>
      <c r="N47" s="13" t="n"/>
      <c r="O47" s="14">
        <f>IF(N47="","",N47+6)</f>
        <v/>
      </c>
      <c r="P47" s="13" t="n"/>
      <c r="Q47" s="13" t="n"/>
      <c r="R47" s="13" t="n"/>
      <c r="S47" s="13" t="n"/>
      <c r="T47" s="12" t="n"/>
      <c r="U47" s="12" t="n"/>
      <c r="V47" s="9" t="n"/>
      <c r="W47" s="13" t="n"/>
      <c r="X47" s="11">
        <f>IF(MAX(I47:L47,N47,P47:S47)=0,"",TODAY()-MAX(I47:L47,N47,P47:S47))</f>
        <v/>
      </c>
      <c r="Y47" s="9" t="n"/>
    </row>
    <row r="48">
      <c r="A48" s="11" t="inlineStr">
        <is>
          <t>G047</t>
        </is>
      </c>
      <c r="B48" s="11">
        <f>IFERROR(INDEX(Leads!$D:$D,MATCH($A48,Leads!$A:$A,0)),"")</f>
        <v/>
      </c>
      <c r="C48" s="11">
        <f>IFERROR(INDEX(Leads!$F:$F,MATCH($A48,Leads!$A:$A,0)),"")</f>
        <v/>
      </c>
      <c r="D48" s="11">
        <f>IFERROR(INDEX(Leads!$G:$G,MATCH($A48,Leads!$A:$A,0)),"")</f>
        <v/>
      </c>
      <c r="E48" s="11">
        <f>IFERROR(INDEX(Leads!$R:$R,MATCH($A48,Leads!$A:$A,0)),"")</f>
        <v/>
      </c>
      <c r="F48" s="11">
        <f>IFERROR(INDEX(Leads!$N:$N,MATCH($A48,Leads!$A:$A,0)),"")</f>
        <v/>
      </c>
      <c r="G48" s="11">
        <f>IFERROR(INDEX(Leads!$J:$J,MATCH($A48,Leads!$A:$A,0)),"")</f>
        <v/>
      </c>
      <c r="H48" s="12" t="inlineStr">
        <is>
          <t>Nurture</t>
        </is>
      </c>
      <c r="I48" s="13" t="n"/>
      <c r="J48" s="13" t="n"/>
      <c r="K48" s="13" t="n"/>
      <c r="L48" s="13" t="n"/>
      <c r="M48" s="14">
        <f>IF(L48="","",L48+4)</f>
        <v/>
      </c>
      <c r="N48" s="13" t="n"/>
      <c r="O48" s="14">
        <f>IF(N48="","",N48+6)</f>
        <v/>
      </c>
      <c r="P48" s="13" t="n"/>
      <c r="Q48" s="13" t="n"/>
      <c r="R48" s="13" t="n"/>
      <c r="S48" s="13" t="n"/>
      <c r="T48" s="12" t="n"/>
      <c r="U48" s="12" t="n"/>
      <c r="V48" s="9" t="n"/>
      <c r="W48" s="13" t="n"/>
      <c r="X48" s="11">
        <f>IF(MAX(I48:L48,N48,P48:S48)=0,"",TODAY()-MAX(I48:L48,N48,P48:S48))</f>
        <v/>
      </c>
      <c r="Y48" s="9" t="n"/>
    </row>
    <row r="49">
      <c r="A49" s="11" t="inlineStr">
        <is>
          <t>G048</t>
        </is>
      </c>
      <c r="B49" s="11">
        <f>IFERROR(INDEX(Leads!$D:$D,MATCH($A49,Leads!$A:$A,0)),"")</f>
        <v/>
      </c>
      <c r="C49" s="11">
        <f>IFERROR(INDEX(Leads!$F:$F,MATCH($A49,Leads!$A:$A,0)),"")</f>
        <v/>
      </c>
      <c r="D49" s="11">
        <f>IFERROR(INDEX(Leads!$G:$G,MATCH($A49,Leads!$A:$A,0)),"")</f>
        <v/>
      </c>
      <c r="E49" s="11">
        <f>IFERROR(INDEX(Leads!$R:$R,MATCH($A49,Leads!$A:$A,0)),"")</f>
        <v/>
      </c>
      <c r="F49" s="11">
        <f>IFERROR(INDEX(Leads!$N:$N,MATCH($A49,Leads!$A:$A,0)),"")</f>
        <v/>
      </c>
      <c r="G49" s="11">
        <f>IFERROR(INDEX(Leads!$J:$J,MATCH($A49,Leads!$A:$A,0)),"")</f>
        <v/>
      </c>
      <c r="H49" s="12" t="inlineStr">
        <is>
          <t>Not started</t>
        </is>
      </c>
      <c r="I49" s="13" t="n"/>
      <c r="J49" s="13" t="n"/>
      <c r="K49" s="13" t="n"/>
      <c r="L49" s="13" t="n"/>
      <c r="M49" s="14">
        <f>IF(L49="","",L49+4)</f>
        <v/>
      </c>
      <c r="N49" s="13" t="n"/>
      <c r="O49" s="14">
        <f>IF(N49="","",N49+6)</f>
        <v/>
      </c>
      <c r="P49" s="13" t="n"/>
      <c r="Q49" s="13" t="n"/>
      <c r="R49" s="13" t="n"/>
      <c r="S49" s="13" t="n"/>
      <c r="T49" s="12" t="n"/>
      <c r="U49" s="12" t="n"/>
      <c r="V49" s="9" t="n"/>
      <c r="W49" s="13" t="n"/>
      <c r="X49" s="11">
        <f>IF(MAX(I49:L49,N49,P49:S49)=0,"",TODAY()-MAX(I49:L49,N49,P49:S49))</f>
        <v/>
      </c>
      <c r="Y49" s="9" t="n"/>
    </row>
    <row r="50">
      <c r="A50" s="11" t="inlineStr">
        <is>
          <t>G049</t>
        </is>
      </c>
      <c r="B50" s="11">
        <f>IFERROR(INDEX(Leads!$D:$D,MATCH($A50,Leads!$A:$A,0)),"")</f>
        <v/>
      </c>
      <c r="C50" s="11">
        <f>IFERROR(INDEX(Leads!$F:$F,MATCH($A50,Leads!$A:$A,0)),"")</f>
        <v/>
      </c>
      <c r="D50" s="11">
        <f>IFERROR(INDEX(Leads!$G:$G,MATCH($A50,Leads!$A:$A,0)),"")</f>
        <v/>
      </c>
      <c r="E50" s="11">
        <f>IFERROR(INDEX(Leads!$R:$R,MATCH($A50,Leads!$A:$A,0)),"")</f>
        <v/>
      </c>
      <c r="F50" s="11">
        <f>IFERROR(INDEX(Leads!$N:$N,MATCH($A50,Leads!$A:$A,0)),"")</f>
        <v/>
      </c>
      <c r="G50" s="11">
        <f>IFERROR(INDEX(Leads!$J:$J,MATCH($A50,Leads!$A:$A,0)),"")</f>
        <v/>
      </c>
      <c r="H50" s="12" t="inlineStr">
        <is>
          <t>Not started</t>
        </is>
      </c>
      <c r="I50" s="13" t="n"/>
      <c r="J50" s="13" t="n"/>
      <c r="K50" s="13" t="n"/>
      <c r="L50" s="13" t="n"/>
      <c r="M50" s="14">
        <f>IF(L50="","",L50+4)</f>
        <v/>
      </c>
      <c r="N50" s="13" t="n"/>
      <c r="O50" s="14">
        <f>IF(N50="","",N50+6)</f>
        <v/>
      </c>
      <c r="P50" s="13" t="n"/>
      <c r="Q50" s="13" t="n"/>
      <c r="R50" s="13" t="n"/>
      <c r="S50" s="13" t="n"/>
      <c r="T50" s="12" t="n"/>
      <c r="U50" s="12" t="n"/>
      <c r="V50" s="9" t="n"/>
      <c r="W50" s="13" t="n"/>
      <c r="X50" s="11">
        <f>IF(MAX(I50:L50,N50,P50:S50)=0,"",TODAY()-MAX(I50:L50,N50,P50:S50))</f>
        <v/>
      </c>
      <c r="Y50" s="9" t="n"/>
    </row>
    <row r="51">
      <c r="A51" s="11" t="inlineStr">
        <is>
          <t>G050</t>
        </is>
      </c>
      <c r="B51" s="11">
        <f>IFERROR(INDEX(Leads!$D:$D,MATCH($A51,Leads!$A:$A,0)),"")</f>
        <v/>
      </c>
      <c r="C51" s="11">
        <f>IFERROR(INDEX(Leads!$F:$F,MATCH($A51,Leads!$A:$A,0)),"")</f>
        <v/>
      </c>
      <c r="D51" s="11">
        <f>IFERROR(INDEX(Leads!$G:$G,MATCH($A51,Leads!$A:$A,0)),"")</f>
        <v/>
      </c>
      <c r="E51" s="11">
        <f>IFERROR(INDEX(Leads!$R:$R,MATCH($A51,Leads!$A:$A,0)),"")</f>
        <v/>
      </c>
      <c r="F51" s="11">
        <f>IFERROR(INDEX(Leads!$N:$N,MATCH($A51,Leads!$A:$A,0)),"")</f>
        <v/>
      </c>
      <c r="G51" s="11">
        <f>IFERROR(INDEX(Leads!$J:$J,MATCH($A51,Leads!$A:$A,0)),"")</f>
        <v/>
      </c>
      <c r="H51" s="12" t="inlineStr">
        <is>
          <t>Not started</t>
        </is>
      </c>
      <c r="I51" s="13" t="n"/>
      <c r="J51" s="13" t="n"/>
      <c r="K51" s="13" t="n"/>
      <c r="L51" s="13" t="n"/>
      <c r="M51" s="14">
        <f>IF(L51="","",L51+4)</f>
        <v/>
      </c>
      <c r="N51" s="13" t="n"/>
      <c r="O51" s="14">
        <f>IF(N51="","",N51+6)</f>
        <v/>
      </c>
      <c r="P51" s="13" t="n"/>
      <c r="Q51" s="13" t="n"/>
      <c r="R51" s="13" t="n"/>
      <c r="S51" s="13" t="n"/>
      <c r="T51" s="12" t="n"/>
      <c r="U51" s="12" t="n"/>
      <c r="V51" s="9" t="n"/>
      <c r="W51" s="13" t="n"/>
      <c r="X51" s="11">
        <f>IF(MAX(I51:L51,N51,P51:S51)=0,"",TODAY()-MAX(I51:L51,N51,P51:S51))</f>
        <v/>
      </c>
      <c r="Y51" s="9" t="n"/>
    </row>
    <row r="52">
      <c r="A52" s="11" t="inlineStr">
        <is>
          <t>G051</t>
        </is>
      </c>
      <c r="B52" s="11">
        <f>IFERROR(INDEX(Leads!$D:$D,MATCH($A52,Leads!$A:$A,0)),"")</f>
        <v/>
      </c>
      <c r="C52" s="11">
        <f>IFERROR(INDEX(Leads!$F:$F,MATCH($A52,Leads!$A:$A,0)),"")</f>
        <v/>
      </c>
      <c r="D52" s="11">
        <f>IFERROR(INDEX(Leads!$G:$G,MATCH($A52,Leads!$A:$A,0)),"")</f>
        <v/>
      </c>
      <c r="E52" s="11">
        <f>IFERROR(INDEX(Leads!$R:$R,MATCH($A52,Leads!$A:$A,0)),"")</f>
        <v/>
      </c>
      <c r="F52" s="11">
        <f>IFERROR(INDEX(Leads!$N:$N,MATCH($A52,Leads!$A:$A,0)),"")</f>
        <v/>
      </c>
      <c r="G52" s="11">
        <f>IFERROR(INDEX(Leads!$J:$J,MATCH($A52,Leads!$A:$A,0)),"")</f>
        <v/>
      </c>
      <c r="H52" s="12" t="inlineStr">
        <is>
          <t>Not started</t>
        </is>
      </c>
      <c r="I52" s="13" t="n"/>
      <c r="J52" s="13" t="n"/>
      <c r="K52" s="13" t="n"/>
      <c r="L52" s="13" t="n"/>
      <c r="M52" s="14">
        <f>IF(L52="","",L52+4)</f>
        <v/>
      </c>
      <c r="N52" s="13" t="n"/>
      <c r="O52" s="14">
        <f>IF(N52="","",N52+6)</f>
        <v/>
      </c>
      <c r="P52" s="13" t="n"/>
      <c r="Q52" s="13" t="n"/>
      <c r="R52" s="13" t="n"/>
      <c r="S52" s="13" t="n"/>
      <c r="T52" s="12" t="n"/>
      <c r="U52" s="12" t="n"/>
      <c r="V52" s="9" t="n"/>
      <c r="W52" s="13" t="n"/>
      <c r="X52" s="11">
        <f>IF(MAX(I52:L52,N52,P52:S52)=0,"",TODAY()-MAX(I52:L52,N52,P52:S52))</f>
        <v/>
      </c>
      <c r="Y52" s="9" t="n"/>
    </row>
    <row r="53">
      <c r="A53" s="11" t="inlineStr">
        <is>
          <t>G052</t>
        </is>
      </c>
      <c r="B53" s="11">
        <f>IFERROR(INDEX(Leads!$D:$D,MATCH($A53,Leads!$A:$A,0)),"")</f>
        <v/>
      </c>
      <c r="C53" s="11">
        <f>IFERROR(INDEX(Leads!$F:$F,MATCH($A53,Leads!$A:$A,0)),"")</f>
        <v/>
      </c>
      <c r="D53" s="11">
        <f>IFERROR(INDEX(Leads!$G:$G,MATCH($A53,Leads!$A:$A,0)),"")</f>
        <v/>
      </c>
      <c r="E53" s="11">
        <f>IFERROR(INDEX(Leads!$R:$R,MATCH($A53,Leads!$A:$A,0)),"")</f>
        <v/>
      </c>
      <c r="F53" s="11">
        <f>IFERROR(INDEX(Leads!$N:$N,MATCH($A53,Leads!$A:$A,0)),"")</f>
        <v/>
      </c>
      <c r="G53" s="11">
        <f>IFERROR(INDEX(Leads!$J:$J,MATCH($A53,Leads!$A:$A,0)),"")</f>
        <v/>
      </c>
      <c r="H53" s="12" t="inlineStr">
        <is>
          <t>Not started</t>
        </is>
      </c>
      <c r="I53" s="13" t="n"/>
      <c r="J53" s="13" t="n"/>
      <c r="K53" s="13" t="n"/>
      <c r="L53" s="13" t="n"/>
      <c r="M53" s="14">
        <f>IF(L53="","",L53+4)</f>
        <v/>
      </c>
      <c r="N53" s="13" t="n"/>
      <c r="O53" s="14">
        <f>IF(N53="","",N53+6)</f>
        <v/>
      </c>
      <c r="P53" s="13" t="n"/>
      <c r="Q53" s="13" t="n"/>
      <c r="R53" s="13" t="n"/>
      <c r="S53" s="13" t="n"/>
      <c r="T53" s="12" t="n"/>
      <c r="U53" s="12" t="n"/>
      <c r="V53" s="9" t="n"/>
      <c r="W53" s="13" t="n"/>
      <c r="X53" s="11">
        <f>IF(MAX(I53:L53,N53,P53:S53)=0,"",TODAY()-MAX(I53:L53,N53,P53:S53))</f>
        <v/>
      </c>
      <c r="Y53" s="9" t="n"/>
    </row>
    <row r="54">
      <c r="A54" s="11" t="inlineStr">
        <is>
          <t>G053</t>
        </is>
      </c>
      <c r="B54" s="11">
        <f>IFERROR(INDEX(Leads!$D:$D,MATCH($A54,Leads!$A:$A,0)),"")</f>
        <v/>
      </c>
      <c r="C54" s="11">
        <f>IFERROR(INDEX(Leads!$F:$F,MATCH($A54,Leads!$A:$A,0)),"")</f>
        <v/>
      </c>
      <c r="D54" s="11">
        <f>IFERROR(INDEX(Leads!$G:$G,MATCH($A54,Leads!$A:$A,0)),"")</f>
        <v/>
      </c>
      <c r="E54" s="11">
        <f>IFERROR(INDEX(Leads!$R:$R,MATCH($A54,Leads!$A:$A,0)),"")</f>
        <v/>
      </c>
      <c r="F54" s="11">
        <f>IFERROR(INDEX(Leads!$N:$N,MATCH($A54,Leads!$A:$A,0)),"")</f>
        <v/>
      </c>
      <c r="G54" s="11">
        <f>IFERROR(INDEX(Leads!$J:$J,MATCH($A54,Leads!$A:$A,0)),"")</f>
        <v/>
      </c>
      <c r="H54" s="12" t="inlineStr">
        <is>
          <t>Not started</t>
        </is>
      </c>
      <c r="I54" s="13" t="n"/>
      <c r="J54" s="13" t="n"/>
      <c r="K54" s="13" t="n"/>
      <c r="L54" s="13" t="n"/>
      <c r="M54" s="14">
        <f>IF(L54="","",L54+4)</f>
        <v/>
      </c>
      <c r="N54" s="13" t="n"/>
      <c r="O54" s="14">
        <f>IF(N54="","",N54+6)</f>
        <v/>
      </c>
      <c r="P54" s="13" t="n"/>
      <c r="Q54" s="13" t="n"/>
      <c r="R54" s="13" t="n"/>
      <c r="S54" s="13" t="n"/>
      <c r="T54" s="12" t="n"/>
      <c r="U54" s="12" t="n"/>
      <c r="V54" s="9" t="n"/>
      <c r="W54" s="13" t="n"/>
      <c r="X54" s="11">
        <f>IF(MAX(I54:L54,N54,P54:S54)=0,"",TODAY()-MAX(I54:L54,N54,P54:S54))</f>
        <v/>
      </c>
      <c r="Y54" s="9" t="n"/>
    </row>
    <row r="55">
      <c r="A55" s="11" t="inlineStr">
        <is>
          <t>G054</t>
        </is>
      </c>
      <c r="B55" s="11">
        <f>IFERROR(INDEX(Leads!$D:$D,MATCH($A55,Leads!$A:$A,0)),"")</f>
        <v/>
      </c>
      <c r="C55" s="11">
        <f>IFERROR(INDEX(Leads!$F:$F,MATCH($A55,Leads!$A:$A,0)),"")</f>
        <v/>
      </c>
      <c r="D55" s="11">
        <f>IFERROR(INDEX(Leads!$G:$G,MATCH($A55,Leads!$A:$A,0)),"")</f>
        <v/>
      </c>
      <c r="E55" s="11">
        <f>IFERROR(INDEX(Leads!$R:$R,MATCH($A55,Leads!$A:$A,0)),"")</f>
        <v/>
      </c>
      <c r="F55" s="11">
        <f>IFERROR(INDEX(Leads!$N:$N,MATCH($A55,Leads!$A:$A,0)),"")</f>
        <v/>
      </c>
      <c r="G55" s="11">
        <f>IFERROR(INDEX(Leads!$J:$J,MATCH($A55,Leads!$A:$A,0)),"")</f>
        <v/>
      </c>
      <c r="H55" s="12" t="inlineStr">
        <is>
          <t>Not started</t>
        </is>
      </c>
      <c r="I55" s="13" t="n"/>
      <c r="J55" s="13" t="n"/>
      <c r="K55" s="13" t="n"/>
      <c r="L55" s="13" t="n"/>
      <c r="M55" s="14">
        <f>IF(L55="","",L55+4)</f>
        <v/>
      </c>
      <c r="N55" s="13" t="n"/>
      <c r="O55" s="14">
        <f>IF(N55="","",N55+6)</f>
        <v/>
      </c>
      <c r="P55" s="13" t="n"/>
      <c r="Q55" s="13" t="n"/>
      <c r="R55" s="13" t="n"/>
      <c r="S55" s="13" t="n"/>
      <c r="T55" s="12" t="n"/>
      <c r="U55" s="12" t="n"/>
      <c r="V55" s="9" t="n"/>
      <c r="W55" s="13" t="n"/>
      <c r="X55" s="11">
        <f>IF(MAX(I55:L55,N55,P55:S55)=0,"",TODAY()-MAX(I55:L55,N55,P55:S55))</f>
        <v/>
      </c>
      <c r="Y55" s="9" t="n"/>
    </row>
    <row r="56">
      <c r="A56" s="11" t="inlineStr">
        <is>
          <t>G055</t>
        </is>
      </c>
      <c r="B56" s="11">
        <f>IFERROR(INDEX(Leads!$D:$D,MATCH($A56,Leads!$A:$A,0)),"")</f>
        <v/>
      </c>
      <c r="C56" s="11">
        <f>IFERROR(INDEX(Leads!$F:$F,MATCH($A56,Leads!$A:$A,0)),"")</f>
        <v/>
      </c>
      <c r="D56" s="11">
        <f>IFERROR(INDEX(Leads!$G:$G,MATCH($A56,Leads!$A:$A,0)),"")</f>
        <v/>
      </c>
      <c r="E56" s="11">
        <f>IFERROR(INDEX(Leads!$R:$R,MATCH($A56,Leads!$A:$A,0)),"")</f>
        <v/>
      </c>
      <c r="F56" s="11">
        <f>IFERROR(INDEX(Leads!$N:$N,MATCH($A56,Leads!$A:$A,0)),"")</f>
        <v/>
      </c>
      <c r="G56" s="11">
        <f>IFERROR(INDEX(Leads!$J:$J,MATCH($A56,Leads!$A:$A,0)),"")</f>
        <v/>
      </c>
      <c r="H56" s="12" t="inlineStr">
        <is>
          <t>Not started</t>
        </is>
      </c>
      <c r="I56" s="13" t="n"/>
      <c r="J56" s="13" t="n"/>
      <c r="K56" s="13" t="n"/>
      <c r="L56" s="13" t="n"/>
      <c r="M56" s="14">
        <f>IF(L56="","",L56+4)</f>
        <v/>
      </c>
      <c r="N56" s="13" t="n"/>
      <c r="O56" s="14">
        <f>IF(N56="","",N56+6)</f>
        <v/>
      </c>
      <c r="P56" s="13" t="n"/>
      <c r="Q56" s="13" t="n"/>
      <c r="R56" s="13" t="n"/>
      <c r="S56" s="13" t="n"/>
      <c r="T56" s="12" t="n"/>
      <c r="U56" s="12" t="n"/>
      <c r="V56" s="9" t="n"/>
      <c r="W56" s="13" t="n"/>
      <c r="X56" s="11">
        <f>IF(MAX(I56:L56,N56,P56:S56)=0,"",TODAY()-MAX(I56:L56,N56,P56:S56))</f>
        <v/>
      </c>
      <c r="Y56" s="9" t="n"/>
    </row>
    <row r="57">
      <c r="A57" s="11" t="inlineStr">
        <is>
          <t>G056</t>
        </is>
      </c>
      <c r="B57" s="11">
        <f>IFERROR(INDEX(Leads!$D:$D,MATCH($A57,Leads!$A:$A,0)),"")</f>
        <v/>
      </c>
      <c r="C57" s="11">
        <f>IFERROR(INDEX(Leads!$F:$F,MATCH($A57,Leads!$A:$A,0)),"")</f>
        <v/>
      </c>
      <c r="D57" s="11">
        <f>IFERROR(INDEX(Leads!$G:$G,MATCH($A57,Leads!$A:$A,0)),"")</f>
        <v/>
      </c>
      <c r="E57" s="11">
        <f>IFERROR(INDEX(Leads!$R:$R,MATCH($A57,Leads!$A:$A,0)),"")</f>
        <v/>
      </c>
      <c r="F57" s="11">
        <f>IFERROR(INDEX(Leads!$N:$N,MATCH($A57,Leads!$A:$A,0)),"")</f>
        <v/>
      </c>
      <c r="G57" s="11">
        <f>IFERROR(INDEX(Leads!$J:$J,MATCH($A57,Leads!$A:$A,0)),"")</f>
        <v/>
      </c>
      <c r="H57" s="12" t="inlineStr">
        <is>
          <t>Not started</t>
        </is>
      </c>
      <c r="I57" s="13" t="n"/>
      <c r="J57" s="13" t="n"/>
      <c r="K57" s="13" t="n"/>
      <c r="L57" s="13" t="n"/>
      <c r="M57" s="14">
        <f>IF(L57="","",L57+4)</f>
        <v/>
      </c>
      <c r="N57" s="13" t="n"/>
      <c r="O57" s="14">
        <f>IF(N57="","",N57+6)</f>
        <v/>
      </c>
      <c r="P57" s="13" t="n"/>
      <c r="Q57" s="13" t="n"/>
      <c r="R57" s="13" t="n"/>
      <c r="S57" s="13" t="n"/>
      <c r="T57" s="12" t="n"/>
      <c r="U57" s="12" t="n"/>
      <c r="V57" s="9" t="n"/>
      <c r="W57" s="13" t="n"/>
      <c r="X57" s="11">
        <f>IF(MAX(I57:L57,N57,P57:S57)=0,"",TODAY()-MAX(I57:L57,N57,P57:S57))</f>
        <v/>
      </c>
      <c r="Y57" s="9" t="n"/>
    </row>
    <row r="58">
      <c r="A58" s="11" t="inlineStr">
        <is>
          <t>G057</t>
        </is>
      </c>
      <c r="B58" s="11">
        <f>IFERROR(INDEX(Leads!$D:$D,MATCH($A58,Leads!$A:$A,0)),"")</f>
        <v/>
      </c>
      <c r="C58" s="11">
        <f>IFERROR(INDEX(Leads!$F:$F,MATCH($A58,Leads!$A:$A,0)),"")</f>
        <v/>
      </c>
      <c r="D58" s="11">
        <f>IFERROR(INDEX(Leads!$G:$G,MATCH($A58,Leads!$A:$A,0)),"")</f>
        <v/>
      </c>
      <c r="E58" s="11">
        <f>IFERROR(INDEX(Leads!$R:$R,MATCH($A58,Leads!$A:$A,0)),"")</f>
        <v/>
      </c>
      <c r="F58" s="11">
        <f>IFERROR(INDEX(Leads!$N:$N,MATCH($A58,Leads!$A:$A,0)),"")</f>
        <v/>
      </c>
      <c r="G58" s="11">
        <f>IFERROR(INDEX(Leads!$J:$J,MATCH($A58,Leads!$A:$A,0)),"")</f>
        <v/>
      </c>
      <c r="H58" s="12" t="inlineStr">
        <is>
          <t>Not started</t>
        </is>
      </c>
      <c r="I58" s="13" t="n"/>
      <c r="J58" s="13" t="n"/>
      <c r="K58" s="13" t="n"/>
      <c r="L58" s="13" t="n"/>
      <c r="M58" s="14">
        <f>IF(L58="","",L58+4)</f>
        <v/>
      </c>
      <c r="N58" s="13" t="n"/>
      <c r="O58" s="14">
        <f>IF(N58="","",N58+6)</f>
        <v/>
      </c>
      <c r="P58" s="13" t="n"/>
      <c r="Q58" s="13" t="n"/>
      <c r="R58" s="13" t="n"/>
      <c r="S58" s="13" t="n"/>
      <c r="T58" s="12" t="n"/>
      <c r="U58" s="12" t="n"/>
      <c r="V58" s="9" t="n"/>
      <c r="W58" s="13" t="n"/>
      <c r="X58" s="11">
        <f>IF(MAX(I58:L58,N58,P58:S58)=0,"",TODAY()-MAX(I58:L58,N58,P58:S58))</f>
        <v/>
      </c>
      <c r="Y58" s="9" t="n"/>
    </row>
    <row r="59">
      <c r="A59" s="11" t="inlineStr">
        <is>
          <t>G058</t>
        </is>
      </c>
      <c r="B59" s="11">
        <f>IFERROR(INDEX(Leads!$D:$D,MATCH($A59,Leads!$A:$A,0)),"")</f>
        <v/>
      </c>
      <c r="C59" s="11">
        <f>IFERROR(INDEX(Leads!$F:$F,MATCH($A59,Leads!$A:$A,0)),"")</f>
        <v/>
      </c>
      <c r="D59" s="11">
        <f>IFERROR(INDEX(Leads!$G:$G,MATCH($A59,Leads!$A:$A,0)),"")</f>
        <v/>
      </c>
      <c r="E59" s="11">
        <f>IFERROR(INDEX(Leads!$R:$R,MATCH($A59,Leads!$A:$A,0)),"")</f>
        <v/>
      </c>
      <c r="F59" s="11">
        <f>IFERROR(INDEX(Leads!$N:$N,MATCH($A59,Leads!$A:$A,0)),"")</f>
        <v/>
      </c>
      <c r="G59" s="11">
        <f>IFERROR(INDEX(Leads!$J:$J,MATCH($A59,Leads!$A:$A,0)),"")</f>
        <v/>
      </c>
      <c r="H59" s="12" t="inlineStr">
        <is>
          <t>Not started</t>
        </is>
      </c>
      <c r="I59" s="13" t="n"/>
      <c r="J59" s="13" t="n"/>
      <c r="K59" s="13" t="n"/>
      <c r="L59" s="13" t="n"/>
      <c r="M59" s="14">
        <f>IF(L59="","",L59+4)</f>
        <v/>
      </c>
      <c r="N59" s="13" t="n"/>
      <c r="O59" s="14">
        <f>IF(N59="","",N59+6)</f>
        <v/>
      </c>
      <c r="P59" s="13" t="n"/>
      <c r="Q59" s="13" t="n"/>
      <c r="R59" s="13" t="n"/>
      <c r="S59" s="13" t="n"/>
      <c r="T59" s="12" t="n"/>
      <c r="U59" s="12" t="n"/>
      <c r="V59" s="9" t="n"/>
      <c r="W59" s="13" t="n"/>
      <c r="X59" s="11">
        <f>IF(MAX(I59:L59,N59,P59:S59)=0,"",TODAY()-MAX(I59:L59,N59,P59:S59))</f>
        <v/>
      </c>
      <c r="Y59" s="9" t="n"/>
    </row>
    <row r="60">
      <c r="A60" s="11" t="inlineStr">
        <is>
          <t>G059</t>
        </is>
      </c>
      <c r="B60" s="11">
        <f>IFERROR(INDEX(Leads!$D:$D,MATCH($A60,Leads!$A:$A,0)),"")</f>
        <v/>
      </c>
      <c r="C60" s="11">
        <f>IFERROR(INDEX(Leads!$F:$F,MATCH($A60,Leads!$A:$A,0)),"")</f>
        <v/>
      </c>
      <c r="D60" s="11">
        <f>IFERROR(INDEX(Leads!$G:$G,MATCH($A60,Leads!$A:$A,0)),"")</f>
        <v/>
      </c>
      <c r="E60" s="11">
        <f>IFERROR(INDEX(Leads!$R:$R,MATCH($A60,Leads!$A:$A,0)),"")</f>
        <v/>
      </c>
      <c r="F60" s="11">
        <f>IFERROR(INDEX(Leads!$N:$N,MATCH($A60,Leads!$A:$A,0)),"")</f>
        <v/>
      </c>
      <c r="G60" s="11">
        <f>IFERROR(INDEX(Leads!$J:$J,MATCH($A60,Leads!$A:$A,0)),"")</f>
        <v/>
      </c>
      <c r="H60" s="12" t="inlineStr">
        <is>
          <t>Not started</t>
        </is>
      </c>
      <c r="I60" s="13" t="n"/>
      <c r="J60" s="13" t="n"/>
      <c r="K60" s="13" t="n"/>
      <c r="L60" s="13" t="n"/>
      <c r="M60" s="14">
        <f>IF(L60="","",L60+4)</f>
        <v/>
      </c>
      <c r="N60" s="13" t="n"/>
      <c r="O60" s="14">
        <f>IF(N60="","",N60+6)</f>
        <v/>
      </c>
      <c r="P60" s="13" t="n"/>
      <c r="Q60" s="13" t="n"/>
      <c r="R60" s="13" t="n"/>
      <c r="S60" s="13" t="n"/>
      <c r="T60" s="12" t="n"/>
      <c r="U60" s="12" t="n"/>
      <c r="V60" s="9" t="n"/>
      <c r="W60" s="13" t="n"/>
      <c r="X60" s="11">
        <f>IF(MAX(I60:L60,N60,P60:S60)=0,"",TODAY()-MAX(I60:L60,N60,P60:S60))</f>
        <v/>
      </c>
      <c r="Y60" s="9" t="n"/>
    </row>
    <row r="61">
      <c r="A61" s="11" t="inlineStr">
        <is>
          <t>G060</t>
        </is>
      </c>
      <c r="B61" s="11">
        <f>IFERROR(INDEX(Leads!$D:$D,MATCH($A61,Leads!$A:$A,0)),"")</f>
        <v/>
      </c>
      <c r="C61" s="11">
        <f>IFERROR(INDEX(Leads!$F:$F,MATCH($A61,Leads!$A:$A,0)),"")</f>
        <v/>
      </c>
      <c r="D61" s="11">
        <f>IFERROR(INDEX(Leads!$G:$G,MATCH($A61,Leads!$A:$A,0)),"")</f>
        <v/>
      </c>
      <c r="E61" s="11">
        <f>IFERROR(INDEX(Leads!$R:$R,MATCH($A61,Leads!$A:$A,0)),"")</f>
        <v/>
      </c>
      <c r="F61" s="11">
        <f>IFERROR(INDEX(Leads!$N:$N,MATCH($A61,Leads!$A:$A,0)),"")</f>
        <v/>
      </c>
      <c r="G61" s="11">
        <f>IFERROR(INDEX(Leads!$J:$J,MATCH($A61,Leads!$A:$A,0)),"")</f>
        <v/>
      </c>
      <c r="H61" s="12" t="inlineStr">
        <is>
          <t>Not started</t>
        </is>
      </c>
      <c r="I61" s="13" t="n"/>
      <c r="J61" s="13" t="n"/>
      <c r="K61" s="13" t="n"/>
      <c r="L61" s="13" t="n"/>
      <c r="M61" s="14">
        <f>IF(L61="","",L61+4)</f>
        <v/>
      </c>
      <c r="N61" s="13" t="n"/>
      <c r="O61" s="14">
        <f>IF(N61="","",N61+6)</f>
        <v/>
      </c>
      <c r="P61" s="13" t="n"/>
      <c r="Q61" s="13" t="n"/>
      <c r="R61" s="13" t="n"/>
      <c r="S61" s="13" t="n"/>
      <c r="T61" s="12" t="n"/>
      <c r="U61" s="12" t="n"/>
      <c r="V61" s="9" t="n"/>
      <c r="W61" s="13" t="n"/>
      <c r="X61" s="11">
        <f>IF(MAX(I61:L61,N61,P61:S61)=0,"",TODAY()-MAX(I61:L61,N61,P61:S61))</f>
        <v/>
      </c>
      <c r="Y61" s="9" t="n"/>
    </row>
  </sheetData>
  <autoFilter ref="A1:Y61"/>
  <conditionalFormatting sqref="M2:M261">
    <cfRule type="expression" priority="1" dxfId="0">
      <formula>AND(M2&lt;&gt;"",N2="",M2&lt;TODAY())</formula>
    </cfRule>
  </conditionalFormatting>
  <conditionalFormatting sqref="O2:O261">
    <cfRule type="expression" priority="2" dxfId="0">
      <formula>AND(O2&lt;&gt;"",P2="",O2&lt;TODAY())</formula>
    </cfRule>
  </conditionalFormatting>
  <conditionalFormatting sqref="H2:H261">
    <cfRule type="expression" priority="3" dxfId="1">
      <formula>OR(H2="Call booked",H2="Call held",H2="Won")</formula>
    </cfRule>
  </conditionalFormatting>
  <dataValidations count="4">
    <dataValidation sqref="H2:H261" showDropDown="0" showInputMessage="0" showErrorMessage="0" allowBlank="1" type="list">
      <formula1>=Lists!$A$2:$A$17</formula1>
    </dataValidation>
    <dataValidation sqref="U2:U261" showDropDown="0" showInputMessage="0" showErrorMessage="0" allowBlank="1" type="list">
      <formula1>=Lists!$B$2:$B$6</formula1>
    </dataValidation>
    <dataValidation sqref="T2:T261" showDropDown="0" showInputMessage="0" showErrorMessage="0" allowBlank="1" type="list">
      <formula1>=Lists!$C$2:$C$3</formula1>
    </dataValidation>
    <dataValidation sqref="I2:I261 J2:J261 K2:K261 L2:L261 N2:N261 P2:P261 Q2:Q261 R2:R261 S2:S261 W2:W261" showDropDown="0" showInputMessage="0" showErrorMessage="0" allowBlank="1" errorTitle="Date" error="Enter a date like 2026-09-29" type="date" operator="greaterThan">
      <formula1>45000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2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5" t="inlineStr">
        <is>
          <t>Pipeline dashboard</t>
        </is>
      </c>
    </row>
    <row r="2">
      <c r="A2" s="16" t="inlineStr">
        <is>
          <t>Updates from the Tracker tab. Rates divide by leads contacted (status past Not started / Warming up / Nurture).</t>
        </is>
      </c>
    </row>
    <row r="4">
      <c r="A4" s="17" t="inlineStr">
        <is>
          <t>Status</t>
        </is>
      </c>
      <c r="B4" s="17" t="inlineStr">
        <is>
          <t>Leads</t>
        </is>
      </c>
    </row>
    <row r="5">
      <c r="A5" s="18" t="inlineStr">
        <is>
          <t>Not started</t>
        </is>
      </c>
      <c r="B5" s="18">
        <f>COUNTIF(Tracker!$H$2:$H$261,A5)</f>
        <v/>
      </c>
    </row>
    <row r="6">
      <c r="A6" s="18" t="inlineStr">
        <is>
          <t>Warming up</t>
        </is>
      </c>
      <c r="B6" s="18">
        <f>COUNTIF(Tracker!$H$2:$H$261,A6)</f>
        <v/>
      </c>
    </row>
    <row r="7">
      <c r="A7" s="18" t="inlineStr">
        <is>
          <t>Connection sent</t>
        </is>
      </c>
      <c r="B7" s="18">
        <f>COUNTIF(Tracker!$H$2:$H$261,A7)</f>
        <v/>
      </c>
    </row>
    <row r="8">
      <c r="A8" s="18" t="inlineStr">
        <is>
          <t>Connected</t>
        </is>
      </c>
      <c r="B8" s="18">
        <f>COUNTIF(Tracker!$H$2:$H$261,A8)</f>
        <v/>
      </c>
    </row>
    <row r="9">
      <c r="A9" s="18" t="inlineStr">
        <is>
          <t>DM sent</t>
        </is>
      </c>
      <c r="B9" s="18">
        <f>COUNTIF(Tracker!$H$2:$H$261,A9)</f>
        <v/>
      </c>
    </row>
    <row r="10">
      <c r="A10" s="18" t="inlineStr">
        <is>
          <t>Follow-up 1 sent</t>
        </is>
      </c>
      <c r="B10" s="18">
        <f>COUNTIF(Tracker!$H$2:$H$261,A10)</f>
        <v/>
      </c>
    </row>
    <row r="11">
      <c r="A11" s="18" t="inlineStr">
        <is>
          <t>Follow-up 2 sent</t>
        </is>
      </c>
      <c r="B11" s="18">
        <f>COUNTIF(Tracker!$H$2:$H$261,A11)</f>
        <v/>
      </c>
    </row>
    <row r="12">
      <c r="A12" s="18" t="inlineStr">
        <is>
          <t>Replied</t>
        </is>
      </c>
      <c r="B12" s="18">
        <f>COUNTIF(Tracker!$H$2:$H$261,A12)</f>
        <v/>
      </c>
    </row>
    <row r="13">
      <c r="A13" s="18" t="inlineStr">
        <is>
          <t>Teardown sent</t>
        </is>
      </c>
      <c r="B13" s="18">
        <f>COUNTIF(Tracker!$H$2:$H$261,A13)</f>
        <v/>
      </c>
    </row>
    <row r="14">
      <c r="A14" s="18" t="inlineStr">
        <is>
          <t>Call booked</t>
        </is>
      </c>
      <c r="B14" s="18">
        <f>COUNTIF(Tracker!$H$2:$H$261,A14)</f>
        <v/>
      </c>
    </row>
    <row r="15">
      <c r="A15" s="18" t="inlineStr">
        <is>
          <t>Call held</t>
        </is>
      </c>
      <c r="B15" s="18">
        <f>COUNTIF(Tracker!$H$2:$H$261,A15)</f>
        <v/>
      </c>
    </row>
    <row r="16">
      <c r="A16" s="18" t="inlineStr">
        <is>
          <t>Proposal sent</t>
        </is>
      </c>
      <c r="B16" s="18">
        <f>COUNTIF(Tracker!$H$2:$H$261,A16)</f>
        <v/>
      </c>
    </row>
    <row r="17">
      <c r="A17" s="18" t="inlineStr">
        <is>
          <t>Won</t>
        </is>
      </c>
      <c r="B17" s="18">
        <f>COUNTIF(Tracker!$H$2:$H$261,A17)</f>
        <v/>
      </c>
    </row>
    <row r="18">
      <c r="A18" s="18" t="inlineStr">
        <is>
          <t>Lost</t>
        </is>
      </c>
      <c r="B18" s="18">
        <f>COUNTIF(Tracker!$H$2:$H$261,A18)</f>
        <v/>
      </c>
    </row>
    <row r="19">
      <c r="A19" s="18" t="inlineStr">
        <is>
          <t>No response</t>
        </is>
      </c>
      <c r="B19" s="18">
        <f>COUNTIF(Tracker!$H$2:$H$261,A19)</f>
        <v/>
      </c>
    </row>
    <row r="20">
      <c r="A20" s="18" t="inlineStr">
        <is>
          <t>Nurture</t>
        </is>
      </c>
      <c r="B20" s="18">
        <f>COUNTIF(Tracker!$H$2:$H$261,A20)</f>
        <v/>
      </c>
    </row>
    <row r="21">
      <c r="A21" s="19" t="inlineStr">
        <is>
          <t>Total</t>
        </is>
      </c>
      <c r="B21" s="19">
        <f>SUM(B5:B20)</f>
        <v/>
      </c>
    </row>
    <row r="23">
      <c r="A23" s="20" t="inlineStr">
        <is>
          <t>Funnel</t>
        </is>
      </c>
    </row>
    <row r="24">
      <c r="A24" s="17" t="inlineStr">
        <is>
          <t>Stage</t>
        </is>
      </c>
      <c r="B24" s="17" t="inlineStr">
        <is>
          <t>Leads</t>
        </is>
      </c>
      <c r="C24" s="17" t="inlineStr">
        <is>
          <t>Rate vs contacted</t>
        </is>
      </c>
    </row>
    <row r="25">
      <c r="A25" s="18" t="inlineStr">
        <is>
          <t>Contacted</t>
        </is>
      </c>
      <c r="B25" s="18">
        <f>COUNTIF(Tracker!$H$2:$H$261,"Connection sent")+COUNTIF(Tracker!$H$2:$H$261,"Connected")+COUNTIF(Tracker!$H$2:$H$261,"DM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sent")+COUNTIF(Tracker!$H$2:$H$261,"Won")+COUNTIF(Tracker!$H$2:$H$261,"Lost")+COUNTIF(Tracker!$H$2:$H$261,"No response")</f>
        <v/>
      </c>
      <c r="C25" s="21">
        <f>IFERROR(B25/$B$25,0)</f>
        <v/>
      </c>
    </row>
    <row r="26">
      <c r="A26" s="18" t="inlineStr">
        <is>
          <t>Connected</t>
        </is>
      </c>
      <c r="B26" s="18">
        <f>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f>
        <v/>
      </c>
      <c r="C26" s="21">
        <f>IFERROR(B26/$B$25,0)</f>
        <v/>
      </c>
    </row>
    <row r="27">
      <c r="A27" s="18" t="inlineStr">
        <is>
          <t>Replied</t>
        </is>
      </c>
      <c r="B27" s="18">
        <f>COUNTIF(Tracker!$H$2:$H$261,"Replied")+COUNTIF(Tracker!$H$2:$H$261,"Teardown sent")+COUNTIF(Tracker!$H$2:$H$261,"Call booked")+COUNTIF(Tracker!$H$2:$H$261,"Call held")+COUNTIF(Tracker!$H$2:$H$261,"Proposal sent")+COUNTIF(Tracker!$H$2:$H$261,"Won")+COUNTIF(Tracker!$H$2:$H$261,"Lost")</f>
        <v/>
      </c>
      <c r="C27" s="21">
        <f>IFERROR(B27/$B$25,0)</f>
        <v/>
      </c>
    </row>
    <row r="28">
      <c r="A28" s="18" t="inlineStr">
        <is>
          <t>Call booked</t>
        </is>
      </c>
      <c r="B28" s="18">
        <f>COUNTIF(Tracker!$H$2:$H$261,"Call booked")+COUNTIF(Tracker!$H$2:$H$261,"Call held")+COUNTIF(Tracker!$H$2:$H$261,"Proposal sent")+COUNTIF(Tracker!$H$2:$H$261,"Won")+COUNTIF(Tracker!$H$2:$H$261,"Lost")</f>
        <v/>
      </c>
      <c r="C28" s="21">
        <f>IFERROR(B28/$B$25,0)</f>
        <v/>
      </c>
    </row>
    <row r="29">
      <c r="A29" s="18" t="inlineStr">
        <is>
          <t>Won</t>
        </is>
      </c>
      <c r="B29" s="18">
        <f>COUNTIF(Tracker!$H$2:$H$261,"Won")</f>
        <v/>
      </c>
      <c r="C29" s="21">
        <f>IFERROR(B29/$B$25,0)</f>
        <v/>
      </c>
    </row>
    <row r="32">
      <c r="A32" s="20" t="inlineStr">
        <is>
          <t>Leads by region</t>
        </is>
      </c>
    </row>
    <row r="33">
      <c r="A33" s="17" t="inlineStr">
        <is>
          <t>Region</t>
        </is>
      </c>
      <c r="B33" s="17" t="inlineStr">
        <is>
          <t>Leads</t>
        </is>
      </c>
      <c r="C33" s="17" t="inlineStr">
        <is>
          <t>Contacted</t>
        </is>
      </c>
      <c r="D33" s="17" t="inlineStr">
        <is>
          <t>Replied</t>
        </is>
      </c>
      <c r="E33" s="17" t="inlineStr">
        <is>
          <t>Calls</t>
        </is>
      </c>
      <c r="F33" s="17" t="inlineStr">
        <is>
          <t>Reply rate</t>
        </is>
      </c>
      <c r="G33" s="17" t="inlineStr">
        <is>
          <t>Call rate</t>
        </is>
      </c>
    </row>
    <row r="34">
      <c r="A34" s="18" t="inlineStr">
        <is>
          <t>India</t>
        </is>
      </c>
      <c r="B34" s="18">
        <f>COUNTIF(Tracker!$D$2:$D$261,$A34)</f>
        <v/>
      </c>
      <c r="C34" s="18">
        <f>COUNTIFS(Tracker!$D$2:$D$261,$A34,Tracker!$H$2:$H$261,"Connection sent")+COUNTIFS(Tracker!$D$2:$D$261,$A34,Tracker!$H$2:$H$261,"Connected")+COUNTIFS(Tracker!$D$2:$D$261,$A34,Tracker!$H$2:$H$261,"DM sent")+COUNTIFS(Tracker!$D$2:$D$261,$A34,Tracker!$H$2:$H$261,"Follow-up 1 sent")+COUNTIFS(Tracker!$D$2:$D$261,$A34,Tracker!$H$2:$H$261,"Follow-up 2 sent")+COUNTIFS(Tracker!$D$2:$D$261,$A34,Tracker!$H$2:$H$261,"Replied")+COUNTIFS(Tracker!$D$2:$D$261,$A34,Tracker!$H$2:$H$261,"Teardown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sent")+COUNTIFS(Tracker!$D$2:$D$261,$A34,Tracker!$H$2:$H$261,"Won")+COUNTIFS(Tracker!$D$2:$D$261,$A34,Tracker!$H$2:$H$261,"Lost")+COUNTIFS(Tracker!$D$2:$D$261,$A34,Tracker!$H$2:$H$261,"No response")</f>
        <v/>
      </c>
      <c r="D34" s="18">
        <f>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f>
        <v/>
      </c>
      <c r="E34" s="18">
        <f>COUNTIFS(Tracker!$D$2:$D$261,$A34,Tracker!$H$2:$H$261,"Call booked")+COUNTIFS(Tracker!$D$2:$D$261,$A34,Tracker!$H$2:$H$261,"Call held")+COUNTIFS(Tracker!$D$2:$D$261,$A34,Tracker!$H$2:$H$261,"Proposal sent")+COUNTIFS(Tracker!$D$2:$D$261,$A34,Tracker!$H$2:$H$261,"Won")+COUNTIFS(Tracker!$D$2:$D$261,$A34,Tracker!$H$2:$H$261,"Lost")</f>
        <v/>
      </c>
      <c r="F34" s="21">
        <f>IFERROR(D34/C34,0)</f>
        <v/>
      </c>
      <c r="G34" s="21">
        <f>IFERROR(E34/C34,0)</f>
        <v/>
      </c>
    </row>
    <row r="35">
      <c r="A35" s="18" t="inlineStr">
        <is>
          <t>UK</t>
        </is>
      </c>
      <c r="B35" s="18">
        <f>COUNTIF(Tracker!$D$2:$D$261,$A35)</f>
        <v/>
      </c>
      <c r="C35" s="18">
        <f>COUNTIFS(Tracker!$D$2:$D$261,$A35,Tracker!$H$2:$H$261,"Connection sent")+COUNTIFS(Tracker!$D$2:$D$261,$A35,Tracker!$H$2:$H$261,"Connected")+COUNTIFS(Tracker!$D$2:$D$261,$A35,Tracker!$H$2:$H$261,"DM sent")+COUNTIFS(Tracker!$D$2:$D$261,$A35,Tracker!$H$2:$H$261,"Follow-up 1 sent")+COUNTIFS(Tracker!$D$2:$D$261,$A35,Tracker!$H$2:$H$261,"Follow-up 2 sent")+COUNTIFS(Tracker!$D$2:$D$261,$A35,Tracker!$H$2:$H$261,"Replied")+COUNTIFS(Tracker!$D$2:$D$261,$A35,Tracker!$H$2:$H$261,"Teardown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sent")+COUNTIFS(Tracker!$D$2:$D$261,$A35,Tracker!$H$2:$H$261,"Won")+COUNTIFS(Tracker!$D$2:$D$261,$A35,Tracker!$H$2:$H$261,"Lost")+COUNTIFS(Tracker!$D$2:$D$261,$A35,Tracker!$H$2:$H$261,"No response")</f>
        <v/>
      </c>
      <c r="D35" s="18">
        <f>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f>
        <v/>
      </c>
      <c r="E35" s="18">
        <f>COUNTIFS(Tracker!$D$2:$D$261,$A35,Tracker!$H$2:$H$261,"Call booked")+COUNTIFS(Tracker!$D$2:$D$261,$A35,Tracker!$H$2:$H$261,"Call held")+COUNTIFS(Tracker!$D$2:$D$261,$A35,Tracker!$H$2:$H$261,"Proposal sent")+COUNTIFS(Tracker!$D$2:$D$261,$A35,Tracker!$H$2:$H$261,"Won")+COUNTIFS(Tracker!$D$2:$D$261,$A35,Tracker!$H$2:$H$261,"Lost")</f>
        <v/>
      </c>
      <c r="F35" s="21">
        <f>IFERROR(D35/C35,0)</f>
        <v/>
      </c>
      <c r="G35" s="21">
        <f>IFERROR(E35/C35,0)</f>
        <v/>
      </c>
    </row>
    <row r="36">
      <c r="A36" s="18" t="inlineStr">
        <is>
          <t>Canada</t>
        </is>
      </c>
      <c r="B36" s="18">
        <f>COUNTIF(Tracker!$D$2:$D$261,$A36)</f>
        <v/>
      </c>
      <c r="C36" s="18">
        <f>COUNTIFS(Tracker!$D$2:$D$261,$A36,Tracker!$H$2:$H$261,"Connection sent")+COUNTIFS(Tracker!$D$2:$D$261,$A36,Tracker!$H$2:$H$261,"Connected")+COUNTIFS(Tracker!$D$2:$D$261,$A36,Tracker!$H$2:$H$261,"DM sent")+COUNTIFS(Tracker!$D$2:$D$261,$A36,Tracker!$H$2:$H$261,"Follow-up 1 sent")+COUNTIFS(Tracker!$D$2:$D$261,$A36,Tracker!$H$2:$H$261,"Follow-up 2 sent")+COUNTIFS(Tracker!$D$2:$D$261,$A36,Tracker!$H$2:$H$261,"Replied")+COUNTIFS(Tracker!$D$2:$D$261,$A36,Tracker!$H$2:$H$261,"Teardown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sent")+COUNTIFS(Tracker!$D$2:$D$261,$A36,Tracker!$H$2:$H$261,"Won")+COUNTIFS(Tracker!$D$2:$D$261,$A36,Tracker!$H$2:$H$261,"Lost")+COUNTIFS(Tracker!$D$2:$D$261,$A36,Tracker!$H$2:$H$261,"No response")</f>
        <v/>
      </c>
      <c r="D36" s="18">
        <f>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f>
        <v/>
      </c>
      <c r="E36" s="18">
        <f>COUNTIFS(Tracker!$D$2:$D$261,$A36,Tracker!$H$2:$H$261,"Call booked")+COUNTIFS(Tracker!$D$2:$D$261,$A36,Tracker!$H$2:$H$261,"Call held")+COUNTIFS(Tracker!$D$2:$D$261,$A36,Tracker!$H$2:$H$261,"Proposal sent")+COUNTIFS(Tracker!$D$2:$D$261,$A36,Tracker!$H$2:$H$261,"Won")+COUNTIFS(Tracker!$D$2:$D$261,$A36,Tracker!$H$2:$H$261,"Lost")</f>
        <v/>
      </c>
      <c r="F36" s="21">
        <f>IFERROR(D36/C36,0)</f>
        <v/>
      </c>
      <c r="G36" s="21">
        <f>IFERROR(E36/C36,0)</f>
        <v/>
      </c>
    </row>
    <row r="37">
      <c r="A37" s="18" t="inlineStr">
        <is>
          <t>US</t>
        </is>
      </c>
      <c r="B37" s="18">
        <f>COUNTIF(Tracker!$D$2:$D$261,$A37)</f>
        <v/>
      </c>
      <c r="C37" s="18">
        <f>COUNTIFS(Tracker!$D$2:$D$261,$A37,Tracker!$H$2:$H$261,"Connection sent")+COUNTIFS(Tracker!$D$2:$D$261,$A37,Tracker!$H$2:$H$261,"Connected")+COUNTIFS(Tracker!$D$2:$D$261,$A37,Tracker!$H$2:$H$261,"DM sent")+COUNTIFS(Tracker!$D$2:$D$261,$A37,Tracker!$H$2:$H$261,"Follow-up 1 sent")+COUNTIFS(Tracker!$D$2:$D$261,$A37,Tracker!$H$2:$H$261,"Follow-up 2 sent")+COUNTIFS(Tracker!$D$2:$D$261,$A37,Tracker!$H$2:$H$261,"Replied")+COUNTIFS(Tracker!$D$2:$D$261,$A37,Tracker!$H$2:$H$261,"Teardown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sent")+COUNTIFS(Tracker!$D$2:$D$261,$A37,Tracker!$H$2:$H$261,"Won")+COUNTIFS(Tracker!$D$2:$D$261,$A37,Tracker!$H$2:$H$261,"Lost")+COUNTIFS(Tracker!$D$2:$D$261,$A37,Tracker!$H$2:$H$261,"No response")</f>
        <v/>
      </c>
      <c r="D37" s="18">
        <f>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f>
        <v/>
      </c>
      <c r="E37" s="18">
        <f>COUNTIFS(Tracker!$D$2:$D$261,$A37,Tracker!$H$2:$H$261,"Call booked")+COUNTIFS(Tracker!$D$2:$D$261,$A37,Tracker!$H$2:$H$261,"Call held")+COUNTIFS(Tracker!$D$2:$D$261,$A37,Tracker!$H$2:$H$261,"Proposal sent")+COUNTIFS(Tracker!$D$2:$D$261,$A37,Tracker!$H$2:$H$261,"Won")+COUNTIFS(Tracker!$D$2:$D$261,$A37,Tracker!$H$2:$H$261,"Lost")</f>
        <v/>
      </c>
      <c r="F37" s="21">
        <f>IFERROR(D37/C37,0)</f>
        <v/>
      </c>
      <c r="G37" s="21">
        <f>IFERROR(E37/C37,0)</f>
        <v/>
      </c>
    </row>
    <row r="39">
      <c r="A39" s="20" t="inlineStr">
        <is>
          <t>Leads by activity pattern</t>
        </is>
      </c>
    </row>
    <row r="40">
      <c r="A40" s="17" t="inlineStr">
        <is>
          <t>Activity pattern</t>
        </is>
      </c>
      <c r="B40" s="17" t="inlineStr">
        <is>
          <t>Leads</t>
        </is>
      </c>
      <c r="C40" s="17" t="inlineStr">
        <is>
          <t>Contacted</t>
        </is>
      </c>
      <c r="D40" s="17" t="inlineStr">
        <is>
          <t>Replied</t>
        </is>
      </c>
      <c r="E40" s="17" t="inlineStr">
        <is>
          <t>Calls</t>
        </is>
      </c>
      <c r="F40" s="17" t="inlineStr">
        <is>
          <t>Reply rate</t>
        </is>
      </c>
      <c r="G40" s="17" t="inlineStr">
        <is>
          <t>Call rate</t>
        </is>
      </c>
    </row>
    <row r="41">
      <c r="A41" s="18" t="inlineStr">
        <is>
          <t>Already consistent</t>
        </is>
      </c>
      <c r="B41" s="18">
        <f>COUNTIF(Tracker!$F$2:$F$261,$A41)</f>
        <v/>
      </c>
      <c r="C41" s="18">
        <f>COUNTIFS(Tracker!$F$2:$F$261,$A41,Tracker!$H$2:$H$261,"Connection sent")+COUNTIFS(Tracker!$F$2:$F$261,$A41,Tracker!$H$2:$H$261,"Connected")+COUNTIFS(Tracker!$F$2:$F$261,$A41,Tracker!$H$2:$H$261,"DM sent")+COUNTIFS(Tracker!$F$2:$F$261,$A41,Tracker!$H$2:$H$261,"Follow-up 1 sent")+COUNTIFS(Tracker!$F$2:$F$261,$A41,Tracker!$H$2:$H$261,"Follow-up 2 sent")+COUNTIFS(Tracker!$F$2:$F$261,$A41,Tracker!$H$2:$H$261,"Replied")+COUNTIFS(Tracker!$F$2:$F$261,$A41,Tracker!$H$2:$H$261,"Teardown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sent")+COUNTIFS(Tracker!$F$2:$F$261,$A41,Tracker!$H$2:$H$261,"Won")+COUNTIFS(Tracker!$F$2:$F$261,$A41,Tracker!$H$2:$H$261,"Lost")+COUNTIFS(Tracker!$F$2:$F$261,$A41,Tracker!$H$2:$H$261,"No response")</f>
        <v/>
      </c>
      <c r="D41" s="18">
        <f>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f>
        <v/>
      </c>
      <c r="E41" s="18">
        <f>COUNTIFS(Tracker!$F$2:$F$261,$A41,Tracker!$H$2:$H$261,"Call booked")+COUNTIFS(Tracker!$F$2:$F$261,$A41,Tracker!$H$2:$H$261,"Call held")+COUNTIFS(Tracker!$F$2:$F$261,$A41,Tracker!$H$2:$H$261,"Proposal sent")+COUNTIFS(Tracker!$F$2:$F$261,$A41,Tracker!$H$2:$H$261,"Won")+COUNTIFS(Tracker!$F$2:$F$261,$A41,Tracker!$H$2:$H$261,"Lost")</f>
        <v/>
      </c>
      <c r="F41" s="21">
        <f>IFERROR(D41/C41,0)</f>
        <v/>
      </c>
      <c r="G41" s="21">
        <f>IFERROR(E41/C41,0)</f>
        <v/>
      </c>
    </row>
    <row r="42">
      <c r="A42" s="18" t="inlineStr">
        <is>
          <t>Company-news voice</t>
        </is>
      </c>
      <c r="B42" s="18">
        <f>COUNTIF(Tracker!$F$2:$F$261,$A42)</f>
        <v/>
      </c>
      <c r="C42" s="18">
        <f>COUNTIFS(Tracker!$F$2:$F$261,$A42,Tracker!$H$2:$H$261,"Connection sent")+COUNTIFS(Tracker!$F$2:$F$261,$A42,Tracker!$H$2:$H$261,"Connected")+COUNTIFS(Tracker!$F$2:$F$261,$A42,Tracker!$H$2:$H$261,"DM sent")+COUNTIFS(Tracker!$F$2:$F$261,$A42,Tracker!$H$2:$H$261,"Follow-up 1 sent")+COUNTIFS(Tracker!$F$2:$F$261,$A42,Tracker!$H$2:$H$261,"Follow-up 2 sent")+COUNTIFS(Tracker!$F$2:$F$261,$A42,Tracker!$H$2:$H$261,"Replied")+COUNTIFS(Tracker!$F$2:$F$261,$A42,Tracker!$H$2:$H$261,"Teardown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sent")+COUNTIFS(Tracker!$F$2:$F$261,$A42,Tracker!$H$2:$H$261,"Won")+COUNTIFS(Tracker!$F$2:$F$261,$A42,Tracker!$H$2:$H$261,"Lost")+COUNTIFS(Tracker!$F$2:$F$261,$A42,Tracker!$H$2:$H$261,"No response")</f>
        <v/>
      </c>
      <c r="D42" s="18">
        <f>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f>
        <v/>
      </c>
      <c r="E42" s="18">
        <f>COUNTIFS(Tracker!$F$2:$F$261,$A42,Tracker!$H$2:$H$261,"Call booked")+COUNTIFS(Tracker!$F$2:$F$261,$A42,Tracker!$H$2:$H$261,"Call held")+COUNTIFS(Tracker!$F$2:$F$261,$A42,Tracker!$H$2:$H$261,"Proposal sent")+COUNTIFS(Tracker!$F$2:$F$261,$A42,Tracker!$H$2:$H$261,"Won")+COUNTIFS(Tracker!$F$2:$F$261,$A42,Tracker!$H$2:$H$261,"Lost")</f>
        <v/>
      </c>
      <c r="F42" s="21">
        <f>IFERROR(D42/C42,0)</f>
        <v/>
      </c>
      <c r="G42" s="21">
        <f>IFERROR(E42/C42,0)</f>
        <v/>
      </c>
    </row>
    <row r="43">
      <c r="A43" s="18" t="inlineStr">
        <is>
          <t>Company-page voice</t>
        </is>
      </c>
      <c r="B43" s="18">
        <f>COUNTIF(Tracker!$F$2:$F$261,$A43)</f>
        <v/>
      </c>
      <c r="C43" s="18">
        <f>COUNTIFS(Tracker!$F$2:$F$261,$A43,Tracker!$H$2:$H$261,"Connection sent")+COUNTIFS(Tracker!$F$2:$F$261,$A43,Tracker!$H$2:$H$261,"Connected")+COUNTIFS(Tracker!$F$2:$F$261,$A43,Tracker!$H$2:$H$261,"DM sent")+COUNTIFS(Tracker!$F$2:$F$261,$A43,Tracker!$H$2:$H$261,"Follow-up 1 sent")+COUNTIFS(Tracker!$F$2:$F$261,$A43,Tracker!$H$2:$H$261,"Follow-up 2 sent")+COUNTIFS(Tracker!$F$2:$F$261,$A43,Tracker!$H$2:$H$261,"Replied")+COUNTIFS(Tracker!$F$2:$F$261,$A43,Tracker!$H$2:$H$261,"Teardown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sent")+COUNTIFS(Tracker!$F$2:$F$261,$A43,Tracker!$H$2:$H$261,"Won")+COUNTIFS(Tracker!$F$2:$F$261,$A43,Tracker!$H$2:$H$261,"Lost")+COUNTIFS(Tracker!$F$2:$F$261,$A43,Tracker!$H$2:$H$261,"No response")</f>
        <v/>
      </c>
      <c r="D43" s="18">
        <f>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f>
        <v/>
      </c>
      <c r="E43" s="18">
        <f>COUNTIFS(Tracker!$F$2:$F$261,$A43,Tracker!$H$2:$H$261,"Call booked")+COUNTIFS(Tracker!$F$2:$F$261,$A43,Tracker!$H$2:$H$261,"Call held")+COUNTIFS(Tracker!$F$2:$F$261,$A43,Tracker!$H$2:$H$261,"Proposal sent")+COUNTIFS(Tracker!$F$2:$F$261,$A43,Tracker!$H$2:$H$261,"Won")+COUNTIFS(Tracker!$F$2:$F$261,$A43,Tracker!$H$2:$H$261,"Lost")</f>
        <v/>
      </c>
      <c r="F43" s="21">
        <f>IFERROR(D43/C43,0)</f>
        <v/>
      </c>
      <c r="G43" s="21">
        <f>IFERROR(E43/C43,0)</f>
        <v/>
      </c>
    </row>
    <row r="44">
      <c r="A44" s="18" t="inlineStr">
        <is>
          <t>Emerging writer</t>
        </is>
      </c>
      <c r="B44" s="18">
        <f>COUNTIF(Tracker!$F$2:$F$261,$A44)</f>
        <v/>
      </c>
      <c r="C44" s="18">
        <f>COUNTIFS(Tracker!$F$2:$F$261,$A44,Tracker!$H$2:$H$261,"Connection sent")+COUNTIFS(Tracker!$F$2:$F$261,$A44,Tracker!$H$2:$H$261,"Connected")+COUNTIFS(Tracker!$F$2:$F$261,$A44,Tracker!$H$2:$H$261,"DM sent")+COUNTIFS(Tracker!$F$2:$F$261,$A44,Tracker!$H$2:$H$261,"Follow-up 1 sent")+COUNTIFS(Tracker!$F$2:$F$261,$A44,Tracker!$H$2:$H$261,"Follow-up 2 sent")+COUNTIFS(Tracker!$F$2:$F$261,$A44,Tracker!$H$2:$H$261,"Replied")+COUNTIFS(Tracker!$F$2:$F$261,$A44,Tracker!$H$2:$H$261,"Teardown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sent")+COUNTIFS(Tracker!$F$2:$F$261,$A44,Tracker!$H$2:$H$261,"Won")+COUNTIFS(Tracker!$F$2:$F$261,$A44,Tracker!$H$2:$H$261,"Lost")+COUNTIFS(Tracker!$F$2:$F$261,$A44,Tracker!$H$2:$H$261,"No response")</f>
        <v/>
      </c>
      <c r="D44" s="18">
        <f>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f>
        <v/>
      </c>
      <c r="E44" s="18">
        <f>COUNTIFS(Tracker!$F$2:$F$261,$A44,Tracker!$H$2:$H$261,"Call booked")+COUNTIFS(Tracker!$F$2:$F$261,$A44,Tracker!$H$2:$H$261,"Call held")+COUNTIFS(Tracker!$F$2:$F$261,$A44,Tracker!$H$2:$H$261,"Proposal sent")+COUNTIFS(Tracker!$F$2:$F$261,$A44,Tracker!$H$2:$H$261,"Won")+COUNTIFS(Tracker!$F$2:$F$261,$A44,Tracker!$H$2:$H$261,"Lost")</f>
        <v/>
      </c>
      <c r="F44" s="21">
        <f>IFERROR(D44/C44,0)</f>
        <v/>
      </c>
      <c r="G44" s="21">
        <f>IFERROR(E44/C44,0)</f>
        <v/>
      </c>
    </row>
    <row r="45">
      <c r="A45" s="18" t="inlineStr">
        <is>
          <t>Milestone-only</t>
        </is>
      </c>
      <c r="B45" s="18">
        <f>COUNTIF(Tracker!$F$2:$F$261,$A45)</f>
        <v/>
      </c>
      <c r="C45" s="18">
        <f>COUNTIFS(Tracker!$F$2:$F$261,$A45,Tracker!$H$2:$H$261,"Connection sent")+COUNTIFS(Tracker!$F$2:$F$261,$A45,Tracker!$H$2:$H$261,"Connected")+COUNTIFS(Tracker!$F$2:$F$261,$A45,Tracker!$H$2:$H$261,"DM sent")+COUNTIFS(Tracker!$F$2:$F$261,$A45,Tracker!$H$2:$H$261,"Follow-up 1 sent")+COUNTIFS(Tracker!$F$2:$F$261,$A45,Tracker!$H$2:$H$261,"Follow-up 2 sent")+COUNTIFS(Tracker!$F$2:$F$261,$A45,Tracker!$H$2:$H$261,"Replied")+COUNTIFS(Tracker!$F$2:$F$261,$A45,Tracker!$H$2:$H$261,"Teardown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sent")+COUNTIFS(Tracker!$F$2:$F$261,$A45,Tracker!$H$2:$H$261,"Won")+COUNTIFS(Tracker!$F$2:$F$261,$A45,Tracker!$H$2:$H$261,"Lost")+COUNTIFS(Tracker!$F$2:$F$261,$A45,Tracker!$H$2:$H$261,"No response")</f>
        <v/>
      </c>
      <c r="D45" s="18">
        <f>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f>
        <v/>
      </c>
      <c r="E45" s="18">
        <f>COUNTIFS(Tracker!$F$2:$F$261,$A45,Tracker!$H$2:$H$261,"Call booked")+COUNTIFS(Tracker!$F$2:$F$261,$A45,Tracker!$H$2:$H$261,"Call held")+COUNTIFS(Tracker!$F$2:$F$261,$A45,Tracker!$H$2:$H$261,"Proposal sent")+COUNTIFS(Tracker!$F$2:$F$261,$A45,Tracker!$H$2:$H$261,"Won")+COUNTIFS(Tracker!$F$2:$F$261,$A45,Tracker!$H$2:$H$261,"Lost")</f>
        <v/>
      </c>
      <c r="F45" s="21">
        <f>IFERROR(D45/C45,0)</f>
        <v/>
      </c>
      <c r="G45" s="21">
        <f>IFERROR(E45/C45,0)</f>
        <v/>
      </c>
    </row>
    <row r="46">
      <c r="A46" s="18" t="inlineStr">
        <is>
          <t>Near-silent</t>
        </is>
      </c>
      <c r="B46" s="18">
        <f>COUNTIF(Tracker!$F$2:$F$261,$A46)</f>
        <v/>
      </c>
      <c r="C46" s="18">
        <f>COUNTIFS(Tracker!$F$2:$F$261,$A46,Tracker!$H$2:$H$261,"Connection sent")+COUNTIFS(Tracker!$F$2:$F$261,$A46,Tracker!$H$2:$H$261,"Connected")+COUNTIFS(Tracker!$F$2:$F$261,$A46,Tracker!$H$2:$H$261,"DM sent")+COUNTIFS(Tracker!$F$2:$F$261,$A46,Tracker!$H$2:$H$261,"Follow-up 1 sent")+COUNTIFS(Tracker!$F$2:$F$261,$A46,Tracker!$H$2:$H$261,"Follow-up 2 sent")+COUNTIFS(Tracker!$F$2:$F$261,$A46,Tracker!$H$2:$H$261,"Replied")+COUNTIFS(Tracker!$F$2:$F$261,$A46,Tracker!$H$2:$H$261,"Teardown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sent")+COUNTIFS(Tracker!$F$2:$F$261,$A46,Tracker!$H$2:$H$261,"Won")+COUNTIFS(Tracker!$F$2:$F$261,$A46,Tracker!$H$2:$H$261,"Lost")+COUNTIFS(Tracker!$F$2:$F$261,$A46,Tracker!$H$2:$H$261,"No response")</f>
        <v/>
      </c>
      <c r="D46" s="18">
        <f>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f>
        <v/>
      </c>
      <c r="E46" s="18">
        <f>COUNTIFS(Tracker!$F$2:$F$261,$A46,Tracker!$H$2:$H$261,"Call booked")+COUNTIFS(Tracker!$F$2:$F$261,$A46,Tracker!$H$2:$H$261,"Call held")+COUNTIFS(Tracker!$F$2:$F$261,$A46,Tracker!$H$2:$H$261,"Proposal sent")+COUNTIFS(Tracker!$F$2:$F$261,$A46,Tracker!$H$2:$H$261,"Won")+COUNTIFS(Tracker!$F$2:$F$261,$A46,Tracker!$H$2:$H$261,"Lost")</f>
        <v/>
      </c>
      <c r="F46" s="21">
        <f>IFERROR(D46/C46,0)</f>
        <v/>
      </c>
      <c r="G46" s="21">
        <f>IFERROR(E46/C46,0)</f>
        <v/>
      </c>
    </row>
    <row r="47">
      <c r="A47" s="18" t="inlineStr">
        <is>
          <t>Not indexed</t>
        </is>
      </c>
      <c r="B47" s="18">
        <f>COUNTIF(Tracker!$F$2:$F$261,$A47)</f>
        <v/>
      </c>
      <c r="C47" s="18">
        <f>COUNTIFS(Tracker!$F$2:$F$261,$A47,Tracker!$H$2:$H$261,"Connection sent")+COUNTIFS(Tracker!$F$2:$F$261,$A47,Tracker!$H$2:$H$261,"Connected")+COUNTIFS(Tracker!$F$2:$F$261,$A47,Tracker!$H$2:$H$261,"DM sent")+COUNTIFS(Tracker!$F$2:$F$261,$A47,Tracker!$H$2:$H$261,"Follow-up 1 sent")+COUNTIFS(Tracker!$F$2:$F$261,$A47,Tracker!$H$2:$H$261,"Follow-up 2 sent")+COUNTIFS(Tracker!$F$2:$F$261,$A47,Tracker!$H$2:$H$261,"Replied")+COUNTIFS(Tracker!$F$2:$F$261,$A47,Tracker!$H$2:$H$261,"Teardown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sent")+COUNTIFS(Tracker!$F$2:$F$261,$A47,Tracker!$H$2:$H$261,"Won")+COUNTIFS(Tracker!$F$2:$F$261,$A47,Tracker!$H$2:$H$261,"Lost")+COUNTIFS(Tracker!$F$2:$F$261,$A47,Tracker!$H$2:$H$261,"No response")</f>
        <v/>
      </c>
      <c r="D47" s="18">
        <f>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f>
        <v/>
      </c>
      <c r="E47" s="18">
        <f>COUNTIFS(Tracker!$F$2:$F$261,$A47,Tracker!$H$2:$H$261,"Call booked")+COUNTIFS(Tracker!$F$2:$F$261,$A47,Tracker!$H$2:$H$261,"Call held")+COUNTIFS(Tracker!$F$2:$F$261,$A47,Tracker!$H$2:$H$261,"Proposal sent")+COUNTIFS(Tracker!$F$2:$F$261,$A47,Tracker!$H$2:$H$261,"Won")+COUNTIFS(Tracker!$F$2:$F$261,$A47,Tracker!$H$2:$H$261,"Lost")</f>
        <v/>
      </c>
      <c r="F47" s="21">
        <f>IFERROR(D47/C47,0)</f>
        <v/>
      </c>
      <c r="G47" s="21">
        <f>IFERROR(E47/C47,0)</f>
        <v/>
      </c>
    </row>
    <row r="48">
      <c r="A48" s="18" t="inlineStr">
        <is>
          <t>Research voice</t>
        </is>
      </c>
      <c r="B48" s="18">
        <f>COUNTIF(Tracker!$F$2:$F$261,$A48)</f>
        <v/>
      </c>
      <c r="C48" s="18">
        <f>COUNTIFS(Tracker!$F$2:$F$261,$A48,Tracker!$H$2:$H$261,"Connection sent")+COUNTIFS(Tracker!$F$2:$F$261,$A48,Tracker!$H$2:$H$261,"Connected")+COUNTIFS(Tracker!$F$2:$F$261,$A48,Tracker!$H$2:$H$261,"DM sent")+COUNTIFS(Tracker!$F$2:$F$261,$A48,Tracker!$H$2:$H$261,"Follow-up 1 sent")+COUNTIFS(Tracker!$F$2:$F$261,$A48,Tracker!$H$2:$H$261,"Follow-up 2 sent")+COUNTIFS(Tracker!$F$2:$F$261,$A48,Tracker!$H$2:$H$261,"Replied")+COUNTIFS(Tracker!$F$2:$F$261,$A48,Tracker!$H$2:$H$261,"Teardown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sent")+COUNTIFS(Tracker!$F$2:$F$261,$A48,Tracker!$H$2:$H$261,"Won")+COUNTIFS(Tracker!$F$2:$F$261,$A48,Tracker!$H$2:$H$261,"Lost")+COUNTIFS(Tracker!$F$2:$F$261,$A48,Tracker!$H$2:$H$261,"No response")</f>
        <v/>
      </c>
      <c r="D48" s="18">
        <f>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f>
        <v/>
      </c>
      <c r="E48" s="18">
        <f>COUNTIFS(Tracker!$F$2:$F$261,$A48,Tracker!$H$2:$H$261,"Call booked")+COUNTIFS(Tracker!$F$2:$F$261,$A48,Tracker!$H$2:$H$261,"Call held")+COUNTIFS(Tracker!$F$2:$F$261,$A48,Tracker!$H$2:$H$261,"Proposal sent")+COUNTIFS(Tracker!$F$2:$F$261,$A48,Tracker!$H$2:$H$261,"Won")+COUNTIFS(Tracker!$F$2:$F$261,$A48,Tracker!$H$2:$H$261,"Lost")</f>
        <v/>
      </c>
      <c r="F48" s="21">
        <f>IFERROR(D48/C48,0)</f>
        <v/>
      </c>
      <c r="G48" s="21">
        <f>IFERROR(E48/C48,0)</f>
        <v/>
      </c>
    </row>
    <row r="49">
      <c r="A49" s="18" t="inlineStr">
        <is>
          <t>Went quiet</t>
        </is>
      </c>
      <c r="B49" s="18">
        <f>COUNTIF(Tracker!$F$2:$F$261,$A49)</f>
        <v/>
      </c>
      <c r="C49" s="18">
        <f>COUNTIFS(Tracker!$F$2:$F$261,$A49,Tracker!$H$2:$H$261,"Connection sent")+COUNTIFS(Tracker!$F$2:$F$261,$A49,Tracker!$H$2:$H$261,"Connected")+COUNTIFS(Tracker!$F$2:$F$261,$A49,Tracker!$H$2:$H$261,"DM sent")+COUNTIFS(Tracker!$F$2:$F$261,$A49,Tracker!$H$2:$H$261,"Follow-up 1 sent")+COUNTIFS(Tracker!$F$2:$F$261,$A49,Tracker!$H$2:$H$261,"Follow-up 2 sent")+COUNTIFS(Tracker!$F$2:$F$261,$A49,Tracker!$H$2:$H$261,"Replied")+COUNTIFS(Tracker!$F$2:$F$261,$A49,Tracker!$H$2:$H$261,"Teardown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sent")+COUNTIFS(Tracker!$F$2:$F$261,$A49,Tracker!$H$2:$H$261,"Won")+COUNTIFS(Tracker!$F$2:$F$261,$A49,Tracker!$H$2:$H$261,"Lost")+COUNTIFS(Tracker!$F$2:$F$261,$A49,Tracker!$H$2:$H$261,"No response")</f>
        <v/>
      </c>
      <c r="D49" s="18">
        <f>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f>
        <v/>
      </c>
      <c r="E49" s="18">
        <f>COUNTIFS(Tracker!$F$2:$F$261,$A49,Tracker!$H$2:$H$261,"Call booked")+COUNTIFS(Tracker!$F$2:$F$261,$A49,Tracker!$H$2:$H$261,"Call held")+COUNTIFS(Tracker!$F$2:$F$261,$A49,Tracker!$H$2:$H$261,"Proposal sent")+COUNTIFS(Tracker!$F$2:$F$261,$A49,Tracker!$H$2:$H$261,"Won")+COUNTIFS(Tracker!$F$2:$F$261,$A49,Tracker!$H$2:$H$261,"Lost")</f>
        <v/>
      </c>
      <c r="F49" s="21">
        <f>IFERROR(D49/C49,0)</f>
        <v/>
      </c>
      <c r="G49" s="21">
        <f>IFERROR(E49/C49,0)</f>
        <v/>
      </c>
    </row>
    <row r="51">
      <c r="A51" s="20" t="inlineStr">
        <is>
          <t>Leads by tier</t>
        </is>
      </c>
    </row>
    <row r="52">
      <c r="A52" s="17" t="inlineStr">
        <is>
          <t>Tier</t>
        </is>
      </c>
      <c r="B52" s="17" t="inlineStr">
        <is>
          <t>Leads</t>
        </is>
      </c>
      <c r="C52" s="17" t="inlineStr">
        <is>
          <t>Contacted</t>
        </is>
      </c>
      <c r="D52" s="17" t="inlineStr">
        <is>
          <t>Replied</t>
        </is>
      </c>
      <c r="E52" s="17" t="inlineStr">
        <is>
          <t>Calls</t>
        </is>
      </c>
      <c r="F52" s="17" t="inlineStr">
        <is>
          <t>Reply rate</t>
        </is>
      </c>
      <c r="G52" s="17" t="inlineStr">
        <is>
          <t>Call rate</t>
        </is>
      </c>
    </row>
    <row r="53">
      <c r="A53" s="18" t="inlineStr">
        <is>
          <t>Priority</t>
        </is>
      </c>
      <c r="B53" s="18">
        <f>COUNTIF(Tracker!$E$2:$E$261,$A53)</f>
        <v/>
      </c>
      <c r="C53" s="18">
        <f>COUNTIFS(Tracker!$E$2:$E$261,$A53,Tracker!$H$2:$H$261,"Connection sent")+COUNTIFS(Tracker!$E$2:$E$261,$A53,Tracker!$H$2:$H$261,"Connected")+COUNTIFS(Tracker!$E$2:$E$261,$A53,Tracker!$H$2:$H$261,"DM sent")+COUNTIFS(Tracker!$E$2:$E$261,$A53,Tracker!$H$2:$H$261,"Follow-up 1 sent")+COUNTIFS(Tracker!$E$2:$E$261,$A53,Tracker!$H$2:$H$261,"Follow-up 2 sent")+COUNTIFS(Tracker!$E$2:$E$261,$A53,Tracker!$H$2:$H$261,"Replied")+COUNTIFS(Tracker!$E$2:$E$261,$A53,Tracker!$H$2:$H$261,"Teardown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sent")+COUNTIFS(Tracker!$E$2:$E$261,$A53,Tracker!$H$2:$H$261,"Won")+COUNTIFS(Tracker!$E$2:$E$261,$A53,Tracker!$H$2:$H$261,"Lost")+COUNTIFS(Tracker!$E$2:$E$261,$A53,Tracker!$H$2:$H$261,"No response")</f>
        <v/>
      </c>
      <c r="D53" s="18">
        <f>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f>
        <v/>
      </c>
      <c r="E53" s="18">
        <f>COUNTIFS(Tracker!$E$2:$E$261,$A53,Tracker!$H$2:$H$261,"Call booked")+COUNTIFS(Tracker!$E$2:$E$261,$A53,Tracker!$H$2:$H$261,"Call held")+COUNTIFS(Tracker!$E$2:$E$261,$A53,Tracker!$H$2:$H$261,"Proposal sent")+COUNTIFS(Tracker!$E$2:$E$261,$A53,Tracker!$H$2:$H$261,"Won")+COUNTIFS(Tracker!$E$2:$E$261,$A53,Tracker!$H$2:$H$261,"Lost")</f>
        <v/>
      </c>
      <c r="F53" s="21">
        <f>IFERROR(D53/C53,0)</f>
        <v/>
      </c>
      <c r="G53" s="21">
        <f>IFERROR(E53/C53,0)</f>
        <v/>
      </c>
    </row>
    <row r="54">
      <c r="A54" s="18" t="inlineStr">
        <is>
          <t>Warm</t>
        </is>
      </c>
      <c r="B54" s="18">
        <f>COUNTIF(Tracker!$E$2:$E$261,$A54)</f>
        <v/>
      </c>
      <c r="C54" s="18">
        <f>COUNTIFS(Tracker!$E$2:$E$261,$A54,Tracker!$H$2:$H$261,"Connection sent")+COUNTIFS(Tracker!$E$2:$E$261,$A54,Tracker!$H$2:$H$261,"Connected")+COUNTIFS(Tracker!$E$2:$E$261,$A54,Tracker!$H$2:$H$261,"DM sent")+COUNTIFS(Tracker!$E$2:$E$261,$A54,Tracker!$H$2:$H$261,"Follow-up 1 sent")+COUNTIFS(Tracker!$E$2:$E$261,$A54,Tracker!$H$2:$H$261,"Follow-up 2 sent")+COUNTIFS(Tracker!$E$2:$E$261,$A54,Tracker!$H$2:$H$261,"Replied")+COUNTIFS(Tracker!$E$2:$E$261,$A54,Tracker!$H$2:$H$261,"Teardown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sent")+COUNTIFS(Tracker!$E$2:$E$261,$A54,Tracker!$H$2:$H$261,"Won")+COUNTIFS(Tracker!$E$2:$E$261,$A54,Tracker!$H$2:$H$261,"Lost")+COUNTIFS(Tracker!$E$2:$E$261,$A54,Tracker!$H$2:$H$261,"No response")</f>
        <v/>
      </c>
      <c r="D54" s="18">
        <f>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f>
        <v/>
      </c>
      <c r="E54" s="18">
        <f>COUNTIFS(Tracker!$E$2:$E$261,$A54,Tracker!$H$2:$H$261,"Call booked")+COUNTIFS(Tracker!$E$2:$E$261,$A54,Tracker!$H$2:$H$261,"Call held")+COUNTIFS(Tracker!$E$2:$E$261,$A54,Tracker!$H$2:$H$261,"Proposal sent")+COUNTIFS(Tracker!$E$2:$E$261,$A54,Tracker!$H$2:$H$261,"Won")+COUNTIFS(Tracker!$E$2:$E$261,$A54,Tracker!$H$2:$H$261,"Lost")</f>
        <v/>
      </c>
      <c r="F54" s="21">
        <f>IFERROR(D54/C54,0)</f>
        <v/>
      </c>
      <c r="G54" s="21">
        <f>IFERROR(E54/C54,0)</f>
        <v/>
      </c>
    </row>
    <row r="55">
      <c r="A55" s="18" t="inlineStr">
        <is>
          <t>Nurture</t>
        </is>
      </c>
      <c r="B55" s="18">
        <f>COUNTIF(Tracker!$E$2:$E$261,$A55)</f>
        <v/>
      </c>
      <c r="C55" s="18">
        <f>COUNTIFS(Tracker!$E$2:$E$261,$A55,Tracker!$H$2:$H$261,"Connection sent")+COUNTIFS(Tracker!$E$2:$E$261,$A55,Tracker!$H$2:$H$261,"Connected")+COUNTIFS(Tracker!$E$2:$E$261,$A55,Tracker!$H$2:$H$261,"DM sent")+COUNTIFS(Tracker!$E$2:$E$261,$A55,Tracker!$H$2:$H$261,"Follow-up 1 sent")+COUNTIFS(Tracker!$E$2:$E$261,$A55,Tracker!$H$2:$H$261,"Follow-up 2 sent")+COUNTIFS(Tracker!$E$2:$E$261,$A55,Tracker!$H$2:$H$261,"Replied")+COUNTIFS(Tracker!$E$2:$E$261,$A55,Tracker!$H$2:$H$261,"Teardown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sent")+COUNTIFS(Tracker!$E$2:$E$261,$A55,Tracker!$H$2:$H$261,"Won")+COUNTIFS(Tracker!$E$2:$E$261,$A55,Tracker!$H$2:$H$261,"Lost")+COUNTIFS(Tracker!$E$2:$E$261,$A55,Tracker!$H$2:$H$261,"No response")</f>
        <v/>
      </c>
      <c r="D55" s="18">
        <f>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f>
        <v/>
      </c>
      <c r="E55" s="18">
        <f>COUNTIFS(Tracker!$E$2:$E$261,$A55,Tracker!$H$2:$H$261,"Call booked")+COUNTIFS(Tracker!$E$2:$E$261,$A55,Tracker!$H$2:$H$261,"Call held")+COUNTIFS(Tracker!$E$2:$E$261,$A55,Tracker!$H$2:$H$261,"Proposal sent")+COUNTIFS(Tracker!$E$2:$E$261,$A55,Tracker!$H$2:$H$261,"Won")+COUNTIFS(Tracker!$E$2:$E$261,$A55,Tracker!$H$2:$H$261,"Lost")</f>
        <v/>
      </c>
      <c r="F55" s="21">
        <f>IFERROR(D55/C55,0)</f>
        <v/>
      </c>
      <c r="G55" s="21">
        <f>IFERROR(E55/C55,0)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95" customWidth="1" min="2" max="2"/>
  </cols>
  <sheetData>
    <row r="1">
      <c r="A1" s="1" t="inlineStr">
        <is>
          <t>Outreach sequence</t>
        </is>
      </c>
      <c r="B1" s="2" t="inlineStr"/>
    </row>
    <row r="2">
      <c r="A2" s="4" t="inlineStr"/>
      <c r="B2" s="2" t="inlineStr"/>
    </row>
    <row r="3">
      <c r="A3" s="4" t="inlineStr">
        <is>
          <t>Day 1 to 5</t>
        </is>
      </c>
      <c r="B3" s="2" t="inlineStr">
        <is>
          <t>Follow them. Leave 1 or 2 real comments on their funding post or the company page's announcement. If there's nothing recent, just view the profile.</t>
        </is>
      </c>
    </row>
    <row r="4">
      <c r="A4" s="4" t="inlineStr">
        <is>
          <t>Day 6</t>
        </is>
      </c>
      <c r="B4" s="2" t="inlineStr">
        <is>
          <t>Send the connection note from the Leads tab.</t>
        </is>
      </c>
    </row>
    <row r="5">
      <c r="A5" s="4" t="inlineStr">
        <is>
          <t>On accept</t>
        </is>
      </c>
      <c r="B5" s="2" t="inlineStr">
        <is>
          <t>Send the First DM. One question, no pitch.</t>
        </is>
      </c>
    </row>
    <row r="6">
      <c r="A6" s="4" t="inlineStr">
        <is>
          <t>+3 to 4 days, no reply</t>
        </is>
      </c>
      <c r="B6" s="2" t="inlineStr">
        <is>
          <t>Follow-up 1: offer the free 3-point profile teardown (text below).</t>
        </is>
      </c>
    </row>
    <row r="7">
      <c r="A7" s="4" t="inlineStr">
        <is>
          <t>+5 to 6 days after that</t>
        </is>
      </c>
      <c r="B7" s="2" t="inlineStr">
        <is>
          <t>Follow-up 2: last nudge that leaves the door open (text below).</t>
        </is>
      </c>
    </row>
    <row r="8">
      <c r="A8" s="4" t="inlineStr">
        <is>
          <t>Yes to teardown</t>
        </is>
      </c>
      <c r="B8" s="2" t="inlineStr">
        <is>
          <t>Send a 2 to 3 minute Loom within 24 hours covering the teardown focus points, then ask for a 20-minute call.</t>
        </is>
      </c>
    </row>
    <row r="9">
      <c r="A9" s="4" t="inlineStr"/>
      <c r="B9" s="2" t="inlineStr"/>
    </row>
    <row r="10" ht="90" customHeight="1">
      <c r="A10" s="4" t="inlineStr">
        <is>
          <t>Follow-up 1</t>
        </is>
      </c>
      <c r="B10" s="2" t="inlineStr">
        <is>
          <t>No worries if this is a busy stretch, [Name].
I put together 3 quick notes on your profile.
Things I'd change so people who hear about [Company] and look you up land on something that sells it.
Want me to send them over? Takes 2 minutes to watch.</t>
        </is>
      </c>
    </row>
    <row r="11" ht="60" customHeight="1">
      <c r="A11" s="4" t="inlineStr">
        <is>
          <t>Follow-up 2</t>
        </is>
      </c>
      <c r="B11" s="2" t="inlineStr">
        <is>
          <t>Last one from me, [Name].
If LinkedIn moves up the list after the raise settles, I'm around.
Either way, good luck with [the next milestone].</t>
        </is>
      </c>
    </row>
    <row r="12">
      <c r="A12" s="4" t="inlineStr"/>
      <c r="B12" s="2" t="inlineStr"/>
    </row>
    <row r="13">
      <c r="A13" s="4" t="inlineStr">
        <is>
          <t>Send times</t>
        </is>
      </c>
      <c r="B13" s="2" t="inlineStr">
        <is>
          <t>India 9 to 11am IST. UK 8 to 10am UK time. Canada and US East 8 to 10am ET. US West 8 to 10am PT. Tuesday to Thursday.</t>
        </is>
      </c>
    </row>
    <row r="14">
      <c r="A14" s="4" t="inlineStr">
        <is>
          <t>Limits</t>
        </is>
      </c>
      <c r="B14" s="2" t="inlineStr">
        <is>
          <t>Keep connection requests around 15 to 25 a day. Send by hand, no automation.</t>
        </is>
      </c>
    </row>
    <row r="15">
      <c r="A15" s="4" t="inlineStr">
        <is>
          <t>Before each send</t>
        </is>
      </c>
      <c r="B15" s="2" t="inlineStr">
        <is>
          <t>30 seconds on their recent activity: still in role, last post date, any agency or ghostwriter already visible. Fill any [bracketed] line yourself after reading the post.</t>
        </is>
      </c>
    </row>
    <row r="16">
      <c r="A16" s="4" t="inlineStr">
        <is>
          <t>Email rules</t>
        </is>
      </c>
      <c r="B16" s="2" t="inlineStr">
        <is>
          <t>Canada: CASL (relevant to role, unsubscribe). UK: PECR and UK GDPR. US: CAN-SPAM. India: DPDP Act.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20" customWidth="1" min="2" max="2"/>
    <col width="20" customWidth="1" min="3" max="3"/>
  </cols>
  <sheetData>
    <row r="1">
      <c r="A1" s="17" t="inlineStr">
        <is>
          <t>Status</t>
        </is>
      </c>
      <c r="B1" s="17" t="inlineStr">
        <is>
          <t>Outcome</t>
        </is>
      </c>
      <c r="C1" s="17" t="inlineStr">
        <is>
          <t>Yes/No</t>
        </is>
      </c>
    </row>
    <row r="2">
      <c r="A2" s="18" t="inlineStr">
        <is>
          <t>Not started</t>
        </is>
      </c>
      <c r="B2" s="18" t="inlineStr">
        <is>
          <t>Won</t>
        </is>
      </c>
      <c r="C2" s="18" t="inlineStr">
        <is>
          <t>Yes</t>
        </is>
      </c>
    </row>
    <row r="3">
      <c r="A3" s="18" t="inlineStr">
        <is>
          <t>Warming up</t>
        </is>
      </c>
      <c r="B3" s="18" t="inlineStr">
        <is>
          <t>Lost</t>
        </is>
      </c>
      <c r="C3" s="18" t="inlineStr">
        <is>
          <t>No</t>
        </is>
      </c>
    </row>
    <row r="4">
      <c r="A4" s="18" t="inlineStr">
        <is>
          <t>Connection sent</t>
        </is>
      </c>
      <c r="B4" s="18" t="inlineStr">
        <is>
          <t>Not now</t>
        </is>
      </c>
    </row>
    <row r="5">
      <c r="A5" s="18" t="inlineStr">
        <is>
          <t>Connected</t>
        </is>
      </c>
      <c r="B5" s="18" t="inlineStr">
        <is>
          <t>No fit</t>
        </is>
      </c>
    </row>
    <row r="6">
      <c r="A6" s="18" t="inlineStr">
        <is>
          <t>DM sent</t>
        </is>
      </c>
      <c r="B6" s="18" t="inlineStr">
        <is>
          <t>Referred</t>
        </is>
      </c>
    </row>
    <row r="7">
      <c r="A7" s="18" t="inlineStr">
        <is>
          <t>Follow-up 1 sent</t>
        </is>
      </c>
    </row>
    <row r="8">
      <c r="A8" s="18" t="inlineStr">
        <is>
          <t>Follow-up 2 sent</t>
        </is>
      </c>
    </row>
    <row r="9">
      <c r="A9" s="18" t="inlineStr">
        <is>
          <t>Replied</t>
        </is>
      </c>
    </row>
    <row r="10">
      <c r="A10" s="18" t="inlineStr">
        <is>
          <t>Teardown sent</t>
        </is>
      </c>
    </row>
    <row r="11">
      <c r="A11" s="18" t="inlineStr">
        <is>
          <t>Call booked</t>
        </is>
      </c>
    </row>
    <row r="12">
      <c r="A12" s="18" t="inlineStr">
        <is>
          <t>Call held</t>
        </is>
      </c>
    </row>
    <row r="13">
      <c r="A13" s="18" t="inlineStr">
        <is>
          <t>Proposal sent</t>
        </is>
      </c>
    </row>
    <row r="14">
      <c r="A14" s="18" t="inlineStr">
        <is>
          <t>Won</t>
        </is>
      </c>
    </row>
    <row r="15">
      <c r="A15" s="18" t="inlineStr">
        <is>
          <t>Lost</t>
        </is>
      </c>
    </row>
    <row r="16">
      <c r="A16" s="18" t="inlineStr">
        <is>
          <t>No response</t>
        </is>
      </c>
    </row>
    <row r="17">
      <c r="A17" s="18" t="inlineStr">
        <is>
          <t>Nurture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2026-09-25T06:59:32Z</dcterms:created>
  <dcterms:modified xsi:type="dcterms:W3CDTF">2026-09-25T06:59:32Z</dcterms:modified>
</cp:coreProperties>
</file>